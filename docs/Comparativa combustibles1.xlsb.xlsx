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203C2271-FF00-4AC6-8B2D-6EC8FD029274}" xr6:coauthVersionLast="47" xr6:coauthVersionMax="47" xr10:uidLastSave="{00000000-0000-0000-0000-000000000000}"/>
  <bookViews>
    <workbookView xWindow="28680" yWindow="-5235" windowWidth="29040" windowHeight="15720" activeTab="2" xr2:uid="{00000000-000D-0000-FFFF-FFFF00000000}"/>
  </bookViews>
  <sheets>
    <sheet name="CALCULADORA COSTES" sheetId="13" r:id="rId1"/>
    <sheet name="TABLAS " sheetId="27" state="hidden" r:id="rId2"/>
    <sheet name="GASOIL " sheetId="8" r:id="rId3"/>
    <sheet name="GAS NATURAL" sheetId="6" r:id="rId4"/>
    <sheet name="H2" sheetId="12" r:id="rId5"/>
    <sheet name="HVO" sheetId="24" r:id="rId6"/>
    <sheet name="BIOMETANO" sheetId="14" r:id="rId7"/>
    <sheet name="ELÉCTRICO" sheetId="15" r:id="rId8"/>
    <sheet name="DUOTRAILER GASOIL" sheetId="18" r:id="rId9"/>
    <sheet name="DUOTRAILER HVO" sheetId="25" r:id="rId10"/>
    <sheet name="DUOTRAILER H2" sheetId="16" r:id="rId11"/>
    <sheet name="DUOTRAILER ELECTRICO" sheetId="28" r:id="rId12"/>
    <sheet name="DUOTRAILER BIOMETANO" sheetId="19" r:id="rId13"/>
    <sheet name="GRAFICO" sheetId="23" state="hidden" r:id="rId14"/>
    <sheet name="Hoja3" sheetId="22" state="hidden" r:id="rId15"/>
    <sheet name="Hoja1" sheetId="20" state="hidden" r:id="rId16"/>
    <sheet name="GRAFICOS" sheetId="17" state="hidden" r:id="rId17"/>
  </sheets>
  <definedNames>
    <definedName name="_xlnm.Print_Area" localSheetId="3">'GAS NATURAL'!$A$1:$A$47</definedName>
    <definedName name="_xlnm.Print_Area" localSheetId="2">'GASOIL '!$A$1:$A$48</definedName>
    <definedName name="_xlnm.Print_Area" localSheetId="4">'H2'!$A$1:$A$47</definedName>
    <definedName name="_xlnm.Print_Area" localSheetId="5">HVO!$A$1:$A$48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3" l="1"/>
  <c r="D11" i="13"/>
  <c r="C7" i="13"/>
  <c r="L11" i="13"/>
  <c r="K11" i="13"/>
  <c r="B16" i="13" a="1"/>
  <c r="B16" i="13" s="1"/>
  <c r="E7" i="13"/>
  <c r="E11" i="13"/>
  <c r="B11" i="13" l="1"/>
  <c r="E8" i="13"/>
  <c r="E5" i="15"/>
  <c r="C12" i="13"/>
  <c r="C9" i="13"/>
  <c r="C30" i="13"/>
  <c r="B30" i="13"/>
  <c r="E19" i="13"/>
  <c r="E12" i="13"/>
  <c r="C8" i="13"/>
  <c r="K12" i="13"/>
  <c r="E33" i="15"/>
  <c r="E33" i="14"/>
  <c r="E34" i="24"/>
  <c r="E33" i="12"/>
  <c r="E33" i="6"/>
  <c r="E34" i="8"/>
  <c r="F25" i="13"/>
  <c r="E34" i="19" s="1"/>
  <c r="E18" i="18"/>
  <c r="E18" i="28" s="1"/>
  <c r="E22" i="18"/>
  <c r="E22" i="19" s="1"/>
  <c r="E14" i="18"/>
  <c r="E14" i="16" s="1"/>
  <c r="E14" i="15"/>
  <c r="E14" i="14"/>
  <c r="E14" i="24"/>
  <c r="E14" i="12"/>
  <c r="E14" i="6"/>
  <c r="E14" i="8"/>
  <c r="E18" i="13"/>
  <c r="C6" i="13" s="1"/>
  <c r="D31" i="24" l="1"/>
  <c r="E31" i="24" s="1"/>
  <c r="D31" i="16"/>
  <c r="D31" i="25"/>
  <c r="D31" i="12"/>
  <c r="D31" i="15"/>
  <c r="E31" i="15" s="1"/>
  <c r="D31" i="6"/>
  <c r="D31" i="18"/>
  <c r="D31" i="8"/>
  <c r="E34" i="25"/>
  <c r="E34" i="16"/>
  <c r="E34" i="28"/>
  <c r="E34" i="18"/>
  <c r="E14" i="25"/>
  <c r="E22" i="28"/>
  <c r="E22" i="25"/>
  <c r="E14" i="28"/>
  <c r="E22" i="16"/>
  <c r="E14" i="19"/>
  <c r="E18" i="16"/>
  <c r="E18" i="25"/>
  <c r="E18" i="19"/>
  <c r="M6" i="13" l="1"/>
  <c r="M12" i="13" s="1"/>
  <c r="M8" i="13"/>
  <c r="M4" i="13"/>
  <c r="D6" i="13"/>
  <c r="D8" i="13"/>
  <c r="W75" i="17"/>
  <c r="Z75" i="17" s="1"/>
  <c r="C32" i="13"/>
  <c r="C34" i="13"/>
  <c r="X75" i="17" l="1"/>
  <c r="Y75" i="17"/>
  <c r="B10" i="13" l="1"/>
  <c r="B32" i="13"/>
  <c r="B34" i="13"/>
  <c r="E5" i="28"/>
  <c r="F29" i="28" s="1"/>
  <c r="B12" i="13"/>
  <c r="D12" i="13" s="1"/>
  <c r="F9" i="28" l="1"/>
  <c r="F25" i="28"/>
  <c r="F17" i="28"/>
  <c r="F37" i="28"/>
  <c r="F11" i="28"/>
  <c r="F19" i="28"/>
  <c r="F27" i="28"/>
  <c r="F42" i="28"/>
  <c r="F13" i="28"/>
  <c r="F21" i="28"/>
  <c r="G34" i="28"/>
  <c r="F15" i="28"/>
  <c r="F23" i="28"/>
  <c r="F34" i="28"/>
  <c r="G9" i="28"/>
  <c r="G11" i="28"/>
  <c r="G13" i="28"/>
  <c r="G15" i="28"/>
  <c r="G17" i="28"/>
  <c r="G19" i="28"/>
  <c r="G21" i="28"/>
  <c r="G23" i="28"/>
  <c r="G25" i="28"/>
  <c r="G27" i="28"/>
  <c r="G29" i="28"/>
  <c r="F32" i="28"/>
  <c r="E36" i="28"/>
  <c r="G37" i="28"/>
  <c r="G42" i="28"/>
  <c r="F8" i="28"/>
  <c r="F10" i="28"/>
  <c r="F12" i="28"/>
  <c r="F14" i="28"/>
  <c r="F16" i="28"/>
  <c r="F18" i="28"/>
  <c r="F20" i="28"/>
  <c r="F22" i="28"/>
  <c r="F24" i="28"/>
  <c r="F26" i="28"/>
  <c r="F28" i="28"/>
  <c r="G32" i="28"/>
  <c r="E35" i="28"/>
  <c r="G8" i="28"/>
  <c r="G10" i="28"/>
  <c r="G12" i="28"/>
  <c r="G14" i="28"/>
  <c r="G16" i="28"/>
  <c r="G18" i="28"/>
  <c r="G20" i="28"/>
  <c r="G22" i="28"/>
  <c r="G24" i="28"/>
  <c r="G26" i="28"/>
  <c r="G28" i="28"/>
  <c r="B9" i="13"/>
  <c r="G81" i="27"/>
  <c r="G82" i="27" s="1"/>
  <c r="G80" i="27"/>
  <c r="Q48" i="27"/>
  <c r="Q49" i="27"/>
  <c r="Q46" i="27"/>
  <c r="Q45" i="27"/>
  <c r="Q44" i="27"/>
  <c r="Q43" i="27"/>
  <c r="T39" i="27"/>
  <c r="T38" i="27"/>
  <c r="F35" i="28" l="1"/>
  <c r="G35" i="28"/>
  <c r="G36" i="28"/>
  <c r="F36" i="28"/>
  <c r="B39" i="27"/>
  <c r="B51" i="27" s="1"/>
  <c r="C51" i="27"/>
  <c r="D51" i="27"/>
  <c r="E51" i="27"/>
  <c r="F51" i="27"/>
  <c r="G51" i="27"/>
  <c r="H51" i="27"/>
  <c r="I51" i="27"/>
  <c r="J51" i="27"/>
  <c r="K51" i="27"/>
  <c r="L51" i="27"/>
  <c r="M51" i="27"/>
  <c r="N51" i="27"/>
  <c r="O51" i="27"/>
  <c r="B52" i="27"/>
  <c r="C52" i="27"/>
  <c r="D52" i="27"/>
  <c r="E52" i="27"/>
  <c r="F52" i="27"/>
  <c r="G52" i="27"/>
  <c r="H52" i="27"/>
  <c r="I52" i="27"/>
  <c r="J52" i="27"/>
  <c r="K52" i="27"/>
  <c r="L52" i="27"/>
  <c r="M52" i="27"/>
  <c r="N52" i="27"/>
  <c r="O52" i="27"/>
  <c r="B53" i="27"/>
  <c r="C53" i="27"/>
  <c r="D53" i="27"/>
  <c r="E53" i="27"/>
  <c r="F53" i="27"/>
  <c r="G53" i="27"/>
  <c r="H53" i="27"/>
  <c r="I53" i="27"/>
  <c r="J53" i="27"/>
  <c r="K53" i="27"/>
  <c r="L53" i="27"/>
  <c r="M53" i="27"/>
  <c r="N53" i="27"/>
  <c r="O53" i="27"/>
  <c r="B54" i="27"/>
  <c r="C54" i="27"/>
  <c r="D54" i="27"/>
  <c r="E54" i="27"/>
  <c r="F54" i="27"/>
  <c r="G54" i="27"/>
  <c r="H54" i="27"/>
  <c r="I54" i="27"/>
  <c r="J54" i="27"/>
  <c r="K54" i="27"/>
  <c r="L54" i="27"/>
  <c r="M54" i="27"/>
  <c r="N54" i="27"/>
  <c r="O54" i="27"/>
  <c r="B55" i="27"/>
  <c r="C55" i="27"/>
  <c r="D55" i="27"/>
  <c r="E55" i="27"/>
  <c r="F55" i="27"/>
  <c r="G55" i="27"/>
  <c r="H55" i="27"/>
  <c r="I55" i="27"/>
  <c r="J55" i="27"/>
  <c r="K55" i="27"/>
  <c r="L55" i="27"/>
  <c r="M55" i="27"/>
  <c r="N55" i="27"/>
  <c r="O55" i="27"/>
  <c r="B56" i="27"/>
  <c r="C56" i="27"/>
  <c r="D56" i="27"/>
  <c r="E56" i="27"/>
  <c r="F56" i="27"/>
  <c r="G56" i="27"/>
  <c r="H56" i="27"/>
  <c r="I56" i="27"/>
  <c r="J56" i="27"/>
  <c r="K56" i="27"/>
  <c r="L56" i="27"/>
  <c r="M56" i="27"/>
  <c r="N56" i="27"/>
  <c r="O56" i="27"/>
  <c r="B57" i="27"/>
  <c r="C57" i="27"/>
  <c r="D57" i="27"/>
  <c r="E57" i="27"/>
  <c r="F57" i="27"/>
  <c r="G57" i="27"/>
  <c r="H57" i="27"/>
  <c r="I57" i="27"/>
  <c r="J57" i="27"/>
  <c r="K57" i="27"/>
  <c r="L57" i="27"/>
  <c r="M57" i="27"/>
  <c r="N57" i="27"/>
  <c r="O57" i="27"/>
  <c r="B58" i="27"/>
  <c r="C58" i="27"/>
  <c r="D58" i="27"/>
  <c r="E58" i="27"/>
  <c r="F58" i="27"/>
  <c r="G58" i="27"/>
  <c r="H58" i="27"/>
  <c r="I58" i="27"/>
  <c r="J58" i="27"/>
  <c r="K58" i="27"/>
  <c r="L58" i="27"/>
  <c r="M58" i="27"/>
  <c r="N58" i="27"/>
  <c r="O58" i="27"/>
  <c r="B59" i="27"/>
  <c r="C59" i="27"/>
  <c r="D59" i="27"/>
  <c r="E59" i="27"/>
  <c r="F59" i="27"/>
  <c r="G59" i="27"/>
  <c r="H59" i="27"/>
  <c r="I59" i="27"/>
  <c r="J59" i="27"/>
  <c r="K59" i="27"/>
  <c r="L59" i="27"/>
  <c r="M59" i="27"/>
  <c r="N59" i="27"/>
  <c r="O59" i="27"/>
  <c r="B60" i="27"/>
  <c r="C60" i="27"/>
  <c r="D60" i="27"/>
  <c r="E60" i="27"/>
  <c r="F60" i="27"/>
  <c r="G60" i="27"/>
  <c r="H60" i="27"/>
  <c r="I60" i="27"/>
  <c r="J60" i="27"/>
  <c r="K60" i="27"/>
  <c r="L60" i="27"/>
  <c r="M60" i="27"/>
  <c r="N60" i="27"/>
  <c r="O60" i="27"/>
  <c r="O63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B68" i="27"/>
  <c r="C68" i="27"/>
  <c r="D68" i="27"/>
  <c r="E68" i="27"/>
  <c r="F68" i="27"/>
  <c r="G68" i="27"/>
  <c r="H68" i="27"/>
  <c r="I68" i="27"/>
  <c r="J68" i="27"/>
  <c r="K68" i="27"/>
  <c r="L68" i="27"/>
  <c r="M68" i="27"/>
  <c r="N68" i="27"/>
  <c r="O68" i="27"/>
  <c r="E7" i="28" l="1"/>
  <c r="E5" i="6"/>
  <c r="F7" i="28" l="1"/>
  <c r="G7" i="28"/>
  <c r="E6" i="28"/>
  <c r="C4" i="13"/>
  <c r="C3" i="13"/>
  <c r="K3" i="13" s="1"/>
  <c r="M3" i="13" s="1"/>
  <c r="E7" i="25"/>
  <c r="E6" i="25" s="1"/>
  <c r="E5" i="25"/>
  <c r="F23" i="25" s="1"/>
  <c r="E7" i="24"/>
  <c r="E6" i="24" s="1"/>
  <c r="B46" i="13" s="1"/>
  <c r="E5" i="24"/>
  <c r="G28" i="24" s="1"/>
  <c r="E5" i="13"/>
  <c r="E10" i="13" s="1"/>
  <c r="L46" i="13" l="1"/>
  <c r="E46" i="13"/>
  <c r="I46" i="13"/>
  <c r="M46" i="13"/>
  <c r="F46" i="13"/>
  <c r="J46" i="13"/>
  <c r="C46" i="13"/>
  <c r="G46" i="13"/>
  <c r="K46" i="13"/>
  <c r="D46" i="13"/>
  <c r="H46" i="13"/>
  <c r="G6" i="28"/>
  <c r="F6" i="28"/>
  <c r="K2" i="13"/>
  <c r="K7" i="13"/>
  <c r="C5" i="13"/>
  <c r="C10" i="13" s="1"/>
  <c r="D10" i="13" s="1"/>
  <c r="K9" i="13"/>
  <c r="M9" i="13" s="1"/>
  <c r="F13" i="25"/>
  <c r="F29" i="25"/>
  <c r="F15" i="25"/>
  <c r="G34" i="25"/>
  <c r="G7" i="25"/>
  <c r="F21" i="25"/>
  <c r="F34" i="25"/>
  <c r="F7" i="25"/>
  <c r="F9" i="25"/>
  <c r="F17" i="25"/>
  <c r="F25" i="25"/>
  <c r="F37" i="25"/>
  <c r="G6" i="25"/>
  <c r="F11" i="25"/>
  <c r="F19" i="25"/>
  <c r="F27" i="25"/>
  <c r="F42" i="25"/>
  <c r="F6" i="25"/>
  <c r="G9" i="25"/>
  <c r="G11" i="25"/>
  <c r="G13" i="25"/>
  <c r="G15" i="25"/>
  <c r="G17" i="25"/>
  <c r="G19" i="25"/>
  <c r="G21" i="25"/>
  <c r="G23" i="25"/>
  <c r="G25" i="25"/>
  <c r="G27" i="25"/>
  <c r="G29" i="25"/>
  <c r="F32" i="25"/>
  <c r="E36" i="25"/>
  <c r="G37" i="25"/>
  <c r="G42" i="25"/>
  <c r="F8" i="25"/>
  <c r="F10" i="25"/>
  <c r="F12" i="25"/>
  <c r="F14" i="25"/>
  <c r="F16" i="25"/>
  <c r="F18" i="25"/>
  <c r="F20" i="25"/>
  <c r="F22" i="25"/>
  <c r="F24" i="25"/>
  <c r="F26" i="25"/>
  <c r="F28" i="25"/>
  <c r="G32" i="25"/>
  <c r="E35" i="25"/>
  <c r="G8" i="25"/>
  <c r="G10" i="25"/>
  <c r="G12" i="25"/>
  <c r="G14" i="25"/>
  <c r="G16" i="25"/>
  <c r="G18" i="25"/>
  <c r="G20" i="25"/>
  <c r="G22" i="25"/>
  <c r="G24" i="25"/>
  <c r="G26" i="25"/>
  <c r="G28" i="25"/>
  <c r="F9" i="24"/>
  <c r="F25" i="24"/>
  <c r="G6" i="24"/>
  <c r="F11" i="24"/>
  <c r="F19" i="24"/>
  <c r="F27" i="24"/>
  <c r="F34" i="24"/>
  <c r="F17" i="24"/>
  <c r="G34" i="24"/>
  <c r="G7" i="24"/>
  <c r="F13" i="24"/>
  <c r="F21" i="24"/>
  <c r="F29" i="24"/>
  <c r="F37" i="24"/>
  <c r="F7" i="24"/>
  <c r="F15" i="24"/>
  <c r="F23" i="24"/>
  <c r="F42" i="24"/>
  <c r="F6" i="24"/>
  <c r="G9" i="24"/>
  <c r="G11" i="24"/>
  <c r="G13" i="24"/>
  <c r="G15" i="24"/>
  <c r="G17" i="24"/>
  <c r="G19" i="24"/>
  <c r="G21" i="24"/>
  <c r="G23" i="24"/>
  <c r="G25" i="24"/>
  <c r="G27" i="24"/>
  <c r="G29" i="24"/>
  <c r="F32" i="24"/>
  <c r="E36" i="24"/>
  <c r="G37" i="24"/>
  <c r="G42" i="24"/>
  <c r="F8" i="24"/>
  <c r="F10" i="24"/>
  <c r="F12" i="24"/>
  <c r="F14" i="24"/>
  <c r="F16" i="24"/>
  <c r="F18" i="24"/>
  <c r="F20" i="24"/>
  <c r="F22" i="24"/>
  <c r="F24" i="24"/>
  <c r="F26" i="24"/>
  <c r="F28" i="24"/>
  <c r="G32" i="24"/>
  <c r="E35" i="24"/>
  <c r="G8" i="24"/>
  <c r="G10" i="24"/>
  <c r="G12" i="24"/>
  <c r="G14" i="24"/>
  <c r="G16" i="24"/>
  <c r="G18" i="24"/>
  <c r="G20" i="24"/>
  <c r="G22" i="24"/>
  <c r="G24" i="24"/>
  <c r="G26" i="24"/>
  <c r="S23" i="22"/>
  <c r="M11" i="13" l="1"/>
  <c r="M7" i="13"/>
  <c r="L3" i="13"/>
  <c r="M2" i="13"/>
  <c r="K5" i="13"/>
  <c r="M5" i="13" s="1"/>
  <c r="D7" i="13"/>
  <c r="D33" i="24" s="1"/>
  <c r="L7" i="13"/>
  <c r="L9" i="13"/>
  <c r="L2" i="13"/>
  <c r="L4" i="13"/>
  <c r="L8" i="13"/>
  <c r="L6" i="13"/>
  <c r="L12" i="13" s="1"/>
  <c r="D5" i="13"/>
  <c r="D9" i="13"/>
  <c r="F35" i="25"/>
  <c r="G35" i="25"/>
  <c r="G36" i="25"/>
  <c r="F36" i="25"/>
  <c r="G36" i="24"/>
  <c r="F36" i="24"/>
  <c r="F35" i="24"/>
  <c r="G35" i="24"/>
  <c r="J268" i="22"/>
  <c r="J267" i="22"/>
  <c r="J266" i="22"/>
  <c r="P262" i="22"/>
  <c r="O262" i="22"/>
  <c r="N262" i="22"/>
  <c r="M262" i="22"/>
  <c r="L262" i="22"/>
  <c r="K262" i="22"/>
  <c r="J262" i="22"/>
  <c r="I262" i="22"/>
  <c r="H262" i="22"/>
  <c r="G262" i="22"/>
  <c r="F262" i="22"/>
  <c r="E262" i="22"/>
  <c r="D262" i="22"/>
  <c r="C262" i="22"/>
  <c r="P261" i="22"/>
  <c r="O261" i="22"/>
  <c r="N261" i="22"/>
  <c r="M261" i="22"/>
  <c r="L261" i="22"/>
  <c r="K261" i="22"/>
  <c r="J261" i="22"/>
  <c r="I261" i="22"/>
  <c r="H261" i="22"/>
  <c r="G261" i="22"/>
  <c r="F261" i="22"/>
  <c r="E261" i="22"/>
  <c r="D261" i="22"/>
  <c r="C261" i="22"/>
  <c r="P260" i="22"/>
  <c r="O260" i="22"/>
  <c r="N260" i="22"/>
  <c r="M260" i="22"/>
  <c r="L260" i="22"/>
  <c r="K260" i="22"/>
  <c r="J260" i="22"/>
  <c r="I260" i="22"/>
  <c r="H260" i="22"/>
  <c r="G260" i="22"/>
  <c r="F260" i="22"/>
  <c r="E260" i="22"/>
  <c r="D260" i="22"/>
  <c r="C260" i="22"/>
  <c r="P259" i="22"/>
  <c r="O259" i="22"/>
  <c r="N259" i="22"/>
  <c r="M259" i="22"/>
  <c r="L259" i="22"/>
  <c r="K259" i="22"/>
  <c r="J259" i="22"/>
  <c r="I259" i="22"/>
  <c r="H259" i="22"/>
  <c r="G259" i="22"/>
  <c r="F259" i="22"/>
  <c r="E259" i="22"/>
  <c r="D259" i="22"/>
  <c r="C259" i="22"/>
  <c r="P258" i="22"/>
  <c r="O258" i="22"/>
  <c r="N258" i="22"/>
  <c r="M258" i="22"/>
  <c r="L258" i="22"/>
  <c r="K258" i="22"/>
  <c r="J258" i="22"/>
  <c r="I258" i="22"/>
  <c r="H258" i="22"/>
  <c r="G258" i="22"/>
  <c r="F258" i="22"/>
  <c r="E258" i="22"/>
  <c r="D258" i="22"/>
  <c r="C258" i="22"/>
  <c r="P257" i="22"/>
  <c r="O257" i="22"/>
  <c r="N257" i="22"/>
  <c r="M257" i="22"/>
  <c r="L257" i="22"/>
  <c r="K257" i="22"/>
  <c r="J257" i="22"/>
  <c r="I257" i="22"/>
  <c r="H257" i="22"/>
  <c r="G257" i="22"/>
  <c r="F257" i="22"/>
  <c r="E257" i="22"/>
  <c r="D257" i="22"/>
  <c r="C257" i="22"/>
  <c r="P256" i="22"/>
  <c r="O256" i="22"/>
  <c r="N256" i="22"/>
  <c r="M256" i="22"/>
  <c r="L256" i="22"/>
  <c r="K256" i="22"/>
  <c r="J256" i="22"/>
  <c r="I256" i="22"/>
  <c r="H256" i="22"/>
  <c r="G256" i="22"/>
  <c r="F256" i="22"/>
  <c r="E256" i="22"/>
  <c r="D256" i="22"/>
  <c r="C256" i="22"/>
  <c r="P255" i="22"/>
  <c r="O255" i="22"/>
  <c r="N255" i="22"/>
  <c r="M255" i="22"/>
  <c r="L255" i="22"/>
  <c r="K255" i="22"/>
  <c r="J255" i="22"/>
  <c r="I255" i="22"/>
  <c r="H255" i="22"/>
  <c r="G255" i="22"/>
  <c r="F255" i="22"/>
  <c r="E255" i="22"/>
  <c r="D255" i="22"/>
  <c r="C255" i="22"/>
  <c r="P254" i="22"/>
  <c r="O254" i="22"/>
  <c r="N254" i="22"/>
  <c r="M254" i="22"/>
  <c r="L254" i="22"/>
  <c r="K254" i="22"/>
  <c r="J254" i="22"/>
  <c r="I254" i="22"/>
  <c r="H254" i="22"/>
  <c r="G254" i="22"/>
  <c r="F254" i="22"/>
  <c r="E254" i="22"/>
  <c r="D254" i="22"/>
  <c r="C254" i="22"/>
  <c r="P253" i="22"/>
  <c r="O253" i="22"/>
  <c r="N253" i="22"/>
  <c r="M253" i="22"/>
  <c r="L253" i="22"/>
  <c r="K253" i="22"/>
  <c r="J253" i="22"/>
  <c r="I253" i="22"/>
  <c r="H253" i="22"/>
  <c r="G253" i="22"/>
  <c r="F253" i="22"/>
  <c r="E253" i="22"/>
  <c r="D253" i="22"/>
  <c r="C253" i="22"/>
  <c r="P252" i="22"/>
  <c r="O252" i="22"/>
  <c r="N252" i="22"/>
  <c r="M252" i="22"/>
  <c r="L252" i="22"/>
  <c r="K252" i="22"/>
  <c r="J252" i="22"/>
  <c r="I252" i="22"/>
  <c r="H252" i="22"/>
  <c r="G252" i="22"/>
  <c r="F252" i="22"/>
  <c r="E252" i="22"/>
  <c r="D252" i="22"/>
  <c r="C252" i="22"/>
  <c r="P251" i="22"/>
  <c r="O251" i="22"/>
  <c r="N251" i="22"/>
  <c r="M251" i="22"/>
  <c r="L251" i="22"/>
  <c r="K251" i="22"/>
  <c r="J251" i="22"/>
  <c r="I251" i="22"/>
  <c r="H251" i="22"/>
  <c r="G251" i="22"/>
  <c r="F251" i="22"/>
  <c r="E251" i="22"/>
  <c r="D251" i="22"/>
  <c r="C251" i="22"/>
  <c r="P246" i="22"/>
  <c r="O246" i="22"/>
  <c r="N246" i="22"/>
  <c r="M246" i="22"/>
  <c r="L246" i="22"/>
  <c r="K246" i="22"/>
  <c r="J246" i="22"/>
  <c r="I246" i="22"/>
  <c r="H246" i="22"/>
  <c r="G246" i="22"/>
  <c r="F246" i="22"/>
  <c r="E246" i="22"/>
  <c r="D246" i="22"/>
  <c r="C246" i="22"/>
  <c r="P245" i="22"/>
  <c r="O245" i="22"/>
  <c r="N245" i="22"/>
  <c r="M245" i="22"/>
  <c r="L245" i="22"/>
  <c r="K245" i="22"/>
  <c r="J245" i="22"/>
  <c r="I245" i="22"/>
  <c r="H245" i="22"/>
  <c r="G245" i="22"/>
  <c r="F245" i="22"/>
  <c r="E245" i="22"/>
  <c r="D245" i="22"/>
  <c r="C245" i="22"/>
  <c r="P244" i="22"/>
  <c r="O244" i="22"/>
  <c r="N244" i="22"/>
  <c r="M244" i="22"/>
  <c r="L244" i="22"/>
  <c r="K244" i="22"/>
  <c r="J244" i="22"/>
  <c r="I244" i="22"/>
  <c r="H244" i="22"/>
  <c r="G244" i="22"/>
  <c r="F244" i="22"/>
  <c r="E244" i="22"/>
  <c r="D244" i="22"/>
  <c r="C244" i="22"/>
  <c r="P243" i="22"/>
  <c r="O243" i="22"/>
  <c r="N243" i="22"/>
  <c r="M243" i="22"/>
  <c r="L243" i="22"/>
  <c r="K243" i="22"/>
  <c r="J243" i="22"/>
  <c r="I243" i="22"/>
  <c r="H243" i="22"/>
  <c r="G243" i="22"/>
  <c r="F243" i="22"/>
  <c r="E243" i="22"/>
  <c r="D243" i="22"/>
  <c r="C243" i="22"/>
  <c r="P242" i="22"/>
  <c r="O242" i="22"/>
  <c r="N242" i="22"/>
  <c r="M242" i="22"/>
  <c r="L242" i="22"/>
  <c r="K242" i="22"/>
  <c r="J242" i="22"/>
  <c r="I242" i="22"/>
  <c r="H242" i="22"/>
  <c r="G242" i="22"/>
  <c r="F242" i="22"/>
  <c r="E242" i="22"/>
  <c r="D242" i="22"/>
  <c r="C242" i="22"/>
  <c r="P241" i="22"/>
  <c r="O241" i="22"/>
  <c r="N241" i="22"/>
  <c r="M241" i="22"/>
  <c r="L241" i="22"/>
  <c r="K241" i="22"/>
  <c r="J241" i="22"/>
  <c r="I241" i="22"/>
  <c r="H241" i="22"/>
  <c r="G241" i="22"/>
  <c r="F241" i="22"/>
  <c r="E241" i="22"/>
  <c r="D241" i="22"/>
  <c r="C241" i="22"/>
  <c r="P240" i="22"/>
  <c r="O240" i="22"/>
  <c r="N240" i="22"/>
  <c r="M240" i="22"/>
  <c r="L240" i="22"/>
  <c r="K240" i="22"/>
  <c r="J240" i="22"/>
  <c r="I240" i="22"/>
  <c r="H240" i="22"/>
  <c r="G240" i="22"/>
  <c r="F240" i="22"/>
  <c r="E240" i="22"/>
  <c r="D240" i="22"/>
  <c r="C240" i="22"/>
  <c r="P239" i="22"/>
  <c r="O239" i="22"/>
  <c r="N239" i="22"/>
  <c r="M239" i="22"/>
  <c r="L239" i="22"/>
  <c r="K239" i="22"/>
  <c r="J239" i="22"/>
  <c r="I239" i="22"/>
  <c r="H239" i="22"/>
  <c r="G239" i="22"/>
  <c r="F239" i="22"/>
  <c r="E239" i="22"/>
  <c r="D239" i="22"/>
  <c r="C239" i="22"/>
  <c r="P238" i="22"/>
  <c r="O238" i="22"/>
  <c r="N238" i="22"/>
  <c r="M238" i="22"/>
  <c r="L238" i="22"/>
  <c r="K238" i="22"/>
  <c r="J238" i="22"/>
  <c r="I238" i="22"/>
  <c r="H238" i="22"/>
  <c r="G238" i="22"/>
  <c r="F238" i="22"/>
  <c r="E238" i="22"/>
  <c r="D238" i="22"/>
  <c r="C238" i="22"/>
  <c r="P237" i="22"/>
  <c r="O237" i="22"/>
  <c r="N237" i="22"/>
  <c r="M237" i="22"/>
  <c r="L237" i="22"/>
  <c r="K237" i="22"/>
  <c r="J237" i="22"/>
  <c r="I237" i="22"/>
  <c r="H237" i="22"/>
  <c r="G237" i="22"/>
  <c r="F237" i="22"/>
  <c r="E237" i="22"/>
  <c r="D237" i="22"/>
  <c r="C237" i="22"/>
  <c r="P236" i="22"/>
  <c r="O236" i="22"/>
  <c r="N236" i="22"/>
  <c r="M236" i="22"/>
  <c r="L236" i="22"/>
  <c r="K236" i="22"/>
  <c r="J236" i="22"/>
  <c r="I236" i="22"/>
  <c r="H236" i="22"/>
  <c r="G236" i="22"/>
  <c r="F236" i="22"/>
  <c r="E236" i="22"/>
  <c r="D236" i="22"/>
  <c r="C236" i="22"/>
  <c r="P235" i="22"/>
  <c r="O235" i="22"/>
  <c r="N235" i="22"/>
  <c r="M235" i="22"/>
  <c r="L235" i="22"/>
  <c r="K235" i="22"/>
  <c r="J235" i="22"/>
  <c r="I235" i="22"/>
  <c r="H235" i="22"/>
  <c r="G235" i="22"/>
  <c r="F235" i="22"/>
  <c r="E235" i="22"/>
  <c r="D235" i="22"/>
  <c r="C235" i="22"/>
  <c r="P229" i="22"/>
  <c r="O229" i="22"/>
  <c r="N229" i="22"/>
  <c r="M229" i="22"/>
  <c r="L229" i="22"/>
  <c r="K229" i="22"/>
  <c r="J229" i="22"/>
  <c r="I229" i="22"/>
  <c r="H229" i="22"/>
  <c r="G229" i="22"/>
  <c r="F229" i="22"/>
  <c r="E229" i="22"/>
  <c r="D229" i="22"/>
  <c r="C229" i="22"/>
  <c r="P228" i="22"/>
  <c r="O228" i="22"/>
  <c r="N228" i="22"/>
  <c r="M228" i="22"/>
  <c r="L228" i="22"/>
  <c r="K228" i="22"/>
  <c r="J228" i="22"/>
  <c r="I228" i="22"/>
  <c r="H228" i="22"/>
  <c r="G228" i="22"/>
  <c r="F228" i="22"/>
  <c r="E228" i="22"/>
  <c r="D228" i="22"/>
  <c r="C228" i="22"/>
  <c r="P227" i="22"/>
  <c r="O227" i="22"/>
  <c r="N227" i="22"/>
  <c r="M227" i="22"/>
  <c r="L227" i="22"/>
  <c r="K227" i="22"/>
  <c r="J227" i="22"/>
  <c r="I227" i="22"/>
  <c r="H227" i="22"/>
  <c r="G227" i="22"/>
  <c r="F227" i="22"/>
  <c r="E227" i="22"/>
  <c r="D227" i="22"/>
  <c r="C227" i="22"/>
  <c r="P226" i="22"/>
  <c r="O226" i="22"/>
  <c r="N226" i="22"/>
  <c r="M226" i="22"/>
  <c r="L226" i="22"/>
  <c r="K226" i="22"/>
  <c r="J226" i="22"/>
  <c r="I226" i="22"/>
  <c r="H226" i="22"/>
  <c r="G226" i="22"/>
  <c r="F226" i="22"/>
  <c r="E226" i="22"/>
  <c r="D226" i="22"/>
  <c r="C226" i="22"/>
  <c r="P225" i="22"/>
  <c r="O225" i="22"/>
  <c r="N225" i="22"/>
  <c r="M225" i="22"/>
  <c r="L225" i="22"/>
  <c r="K225" i="22"/>
  <c r="J225" i="22"/>
  <c r="I225" i="22"/>
  <c r="H225" i="22"/>
  <c r="G225" i="22"/>
  <c r="F225" i="22"/>
  <c r="E225" i="22"/>
  <c r="D225" i="22"/>
  <c r="C225" i="22"/>
  <c r="P224" i="22"/>
  <c r="O224" i="22"/>
  <c r="N224" i="22"/>
  <c r="M224" i="22"/>
  <c r="L224" i="22"/>
  <c r="K224" i="22"/>
  <c r="J224" i="22"/>
  <c r="I224" i="22"/>
  <c r="H224" i="22"/>
  <c r="G224" i="22"/>
  <c r="F224" i="22"/>
  <c r="E224" i="22"/>
  <c r="D224" i="22"/>
  <c r="C224" i="22"/>
  <c r="P223" i="22"/>
  <c r="O223" i="22"/>
  <c r="N223" i="22"/>
  <c r="M223" i="22"/>
  <c r="L223" i="22"/>
  <c r="K223" i="22"/>
  <c r="J223" i="22"/>
  <c r="I223" i="22"/>
  <c r="H223" i="22"/>
  <c r="G223" i="22"/>
  <c r="F223" i="22"/>
  <c r="E223" i="22"/>
  <c r="D223" i="22"/>
  <c r="C223" i="22"/>
  <c r="P222" i="22"/>
  <c r="O222" i="22"/>
  <c r="N222" i="22"/>
  <c r="M222" i="22"/>
  <c r="L222" i="22"/>
  <c r="K222" i="22"/>
  <c r="J222" i="22"/>
  <c r="I222" i="22"/>
  <c r="H222" i="22"/>
  <c r="G222" i="22"/>
  <c r="F222" i="22"/>
  <c r="E222" i="22"/>
  <c r="D222" i="22"/>
  <c r="C222" i="22"/>
  <c r="P221" i="22"/>
  <c r="O221" i="22"/>
  <c r="N221" i="22"/>
  <c r="M221" i="22"/>
  <c r="L221" i="22"/>
  <c r="K221" i="22"/>
  <c r="J221" i="22"/>
  <c r="I221" i="22"/>
  <c r="H221" i="22"/>
  <c r="G221" i="22"/>
  <c r="F221" i="22"/>
  <c r="E221" i="22"/>
  <c r="D221" i="22"/>
  <c r="C221" i="22"/>
  <c r="P220" i="22"/>
  <c r="O220" i="22"/>
  <c r="N220" i="22"/>
  <c r="M220" i="22"/>
  <c r="L220" i="22"/>
  <c r="K220" i="22"/>
  <c r="J220" i="22"/>
  <c r="I220" i="22"/>
  <c r="H220" i="22"/>
  <c r="G220" i="22"/>
  <c r="F220" i="22"/>
  <c r="E220" i="22"/>
  <c r="D220" i="22"/>
  <c r="C220" i="22"/>
  <c r="P219" i="22"/>
  <c r="O219" i="22"/>
  <c r="N219" i="22"/>
  <c r="M219" i="22"/>
  <c r="L219" i="22"/>
  <c r="K219" i="22"/>
  <c r="J219" i="22"/>
  <c r="I219" i="22"/>
  <c r="H219" i="22"/>
  <c r="G219" i="22"/>
  <c r="F219" i="22"/>
  <c r="E219" i="22"/>
  <c r="D219" i="22"/>
  <c r="C219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P193" i="22"/>
  <c r="O193" i="22"/>
  <c r="N193" i="22"/>
  <c r="M193" i="22"/>
  <c r="L193" i="22"/>
  <c r="K193" i="22"/>
  <c r="J193" i="22"/>
  <c r="I193" i="22"/>
  <c r="H193" i="22"/>
  <c r="G193" i="22"/>
  <c r="F193" i="22"/>
  <c r="E193" i="22"/>
  <c r="D193" i="22"/>
  <c r="C193" i="22"/>
  <c r="P192" i="22"/>
  <c r="O192" i="22"/>
  <c r="N192" i="22"/>
  <c r="M192" i="22"/>
  <c r="L192" i="22"/>
  <c r="K192" i="22"/>
  <c r="J192" i="22"/>
  <c r="I192" i="22"/>
  <c r="H192" i="22"/>
  <c r="G192" i="22"/>
  <c r="F192" i="22"/>
  <c r="E192" i="22"/>
  <c r="D192" i="22"/>
  <c r="C192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P180" i="22"/>
  <c r="O180" i="22"/>
  <c r="N180" i="22"/>
  <c r="M180" i="22"/>
  <c r="L180" i="22"/>
  <c r="K180" i="22"/>
  <c r="J180" i="22"/>
  <c r="I180" i="22"/>
  <c r="H180" i="22"/>
  <c r="G180" i="22"/>
  <c r="F180" i="22"/>
  <c r="E180" i="22"/>
  <c r="D180" i="22"/>
  <c r="C180" i="22"/>
  <c r="P179" i="22"/>
  <c r="O179" i="22"/>
  <c r="N179" i="22"/>
  <c r="M179" i="22"/>
  <c r="L179" i="22"/>
  <c r="K179" i="22"/>
  <c r="J179" i="22"/>
  <c r="I179" i="22"/>
  <c r="H179" i="22"/>
  <c r="G179" i="22"/>
  <c r="F179" i="22"/>
  <c r="E179" i="22"/>
  <c r="D179" i="22"/>
  <c r="C179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P175" i="22"/>
  <c r="O175" i="22"/>
  <c r="N175" i="22"/>
  <c r="M175" i="22"/>
  <c r="L175" i="22"/>
  <c r="K175" i="22"/>
  <c r="J175" i="22"/>
  <c r="I175" i="22"/>
  <c r="H175" i="22"/>
  <c r="G175" i="22"/>
  <c r="F175" i="22"/>
  <c r="E175" i="22"/>
  <c r="D175" i="22"/>
  <c r="C175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P171" i="22"/>
  <c r="O171" i="22"/>
  <c r="N171" i="22"/>
  <c r="M171" i="22"/>
  <c r="L171" i="22"/>
  <c r="K171" i="22"/>
  <c r="J171" i="22"/>
  <c r="I171" i="22"/>
  <c r="H171" i="22"/>
  <c r="G171" i="22"/>
  <c r="F171" i="22"/>
  <c r="E171" i="22"/>
  <c r="D171" i="22"/>
  <c r="C171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P163" i="22"/>
  <c r="O163" i="22"/>
  <c r="N163" i="22"/>
  <c r="M163" i="22"/>
  <c r="L163" i="22"/>
  <c r="K163" i="22"/>
  <c r="J163" i="22"/>
  <c r="I163" i="22"/>
  <c r="H163" i="22"/>
  <c r="G163" i="22"/>
  <c r="F163" i="22"/>
  <c r="E163" i="22"/>
  <c r="D163" i="22"/>
  <c r="C163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P160" i="22"/>
  <c r="O160" i="22"/>
  <c r="N160" i="22"/>
  <c r="M160" i="22"/>
  <c r="L160" i="22"/>
  <c r="K160" i="22"/>
  <c r="J160" i="22"/>
  <c r="I160" i="22"/>
  <c r="H160" i="22"/>
  <c r="G160" i="22"/>
  <c r="F160" i="22"/>
  <c r="E160" i="22"/>
  <c r="D160" i="22"/>
  <c r="C160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P157" i="22"/>
  <c r="O157" i="22"/>
  <c r="N157" i="22"/>
  <c r="M157" i="22"/>
  <c r="L157" i="22"/>
  <c r="K157" i="22"/>
  <c r="J157" i="22"/>
  <c r="I157" i="22"/>
  <c r="H157" i="22"/>
  <c r="G157" i="22"/>
  <c r="F157" i="22"/>
  <c r="E157" i="22"/>
  <c r="D157" i="22"/>
  <c r="C157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P153" i="22"/>
  <c r="O153" i="22"/>
  <c r="N153" i="22"/>
  <c r="M153" i="22"/>
  <c r="L153" i="22"/>
  <c r="K153" i="22"/>
  <c r="J153" i="22"/>
  <c r="I153" i="22"/>
  <c r="H153" i="22"/>
  <c r="G153" i="22"/>
  <c r="F153" i="22"/>
  <c r="E153" i="22"/>
  <c r="D153" i="22"/>
  <c r="C153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P125" i="22"/>
  <c r="O125" i="22"/>
  <c r="N125" i="22"/>
  <c r="M125" i="22"/>
  <c r="L125" i="22"/>
  <c r="K125" i="22"/>
  <c r="J125" i="22"/>
  <c r="I125" i="22"/>
  <c r="H125" i="22"/>
  <c r="G125" i="22"/>
  <c r="F125" i="22"/>
  <c r="E125" i="22"/>
  <c r="D125" i="22"/>
  <c r="C125" i="22"/>
  <c r="P124" i="22"/>
  <c r="O124" i="22"/>
  <c r="N124" i="22"/>
  <c r="M124" i="22"/>
  <c r="L124" i="22"/>
  <c r="K124" i="22"/>
  <c r="J124" i="22"/>
  <c r="I124" i="22"/>
  <c r="H124" i="22"/>
  <c r="G124" i="22"/>
  <c r="F124" i="22"/>
  <c r="E124" i="22"/>
  <c r="D124" i="22"/>
  <c r="C124" i="22"/>
  <c r="P123" i="22"/>
  <c r="O123" i="22"/>
  <c r="N123" i="22"/>
  <c r="M123" i="22"/>
  <c r="L123" i="22"/>
  <c r="K123" i="22"/>
  <c r="J123" i="22"/>
  <c r="I123" i="22"/>
  <c r="H123" i="22"/>
  <c r="G123" i="22"/>
  <c r="F123" i="22"/>
  <c r="E123" i="22"/>
  <c r="D123" i="22"/>
  <c r="C123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P114" i="22"/>
  <c r="O114" i="22"/>
  <c r="N114" i="22"/>
  <c r="M114" i="22"/>
  <c r="L114" i="22"/>
  <c r="K114" i="22"/>
  <c r="J114" i="22"/>
  <c r="I114" i="22"/>
  <c r="H114" i="22"/>
  <c r="G114" i="22"/>
  <c r="F114" i="22"/>
  <c r="E114" i="22"/>
  <c r="D114" i="22"/>
  <c r="C114" i="22"/>
  <c r="P113" i="22"/>
  <c r="O113" i="22"/>
  <c r="N113" i="22"/>
  <c r="M113" i="22"/>
  <c r="L113" i="22"/>
  <c r="K113" i="22"/>
  <c r="J113" i="22"/>
  <c r="I113" i="22"/>
  <c r="H113" i="22"/>
  <c r="G113" i="22"/>
  <c r="F113" i="22"/>
  <c r="E113" i="22"/>
  <c r="D113" i="22"/>
  <c r="C113" i="22"/>
  <c r="P112" i="22"/>
  <c r="O112" i="22"/>
  <c r="N112" i="22"/>
  <c r="M112" i="22"/>
  <c r="L112" i="22"/>
  <c r="K112" i="22"/>
  <c r="J112" i="22"/>
  <c r="I112" i="22"/>
  <c r="H112" i="22"/>
  <c r="G112" i="22"/>
  <c r="F112" i="22"/>
  <c r="E112" i="22"/>
  <c r="D112" i="22"/>
  <c r="C112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P103" i="22"/>
  <c r="O103" i="22"/>
  <c r="N103" i="22"/>
  <c r="M103" i="22"/>
  <c r="L103" i="22"/>
  <c r="K103" i="22"/>
  <c r="J103" i="22"/>
  <c r="I103" i="22"/>
  <c r="H103" i="22"/>
  <c r="G103" i="22"/>
  <c r="F103" i="22"/>
  <c r="E103" i="22"/>
  <c r="D103" i="22"/>
  <c r="C103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P92" i="22"/>
  <c r="O92" i="22"/>
  <c r="N92" i="22"/>
  <c r="M92" i="22"/>
  <c r="L92" i="22"/>
  <c r="K92" i="22"/>
  <c r="J92" i="22"/>
  <c r="I92" i="22"/>
  <c r="H92" i="22"/>
  <c r="G92" i="22"/>
  <c r="F92" i="22"/>
  <c r="E92" i="22"/>
  <c r="D92" i="22"/>
  <c r="C92" i="22"/>
  <c r="P91" i="22"/>
  <c r="O91" i="22"/>
  <c r="N91" i="22"/>
  <c r="M91" i="22"/>
  <c r="L91" i="22"/>
  <c r="K91" i="22"/>
  <c r="J91" i="22"/>
  <c r="I91" i="22"/>
  <c r="H91" i="22"/>
  <c r="G91" i="22"/>
  <c r="F91" i="22"/>
  <c r="E91" i="22"/>
  <c r="D91" i="22"/>
  <c r="C91" i="22"/>
  <c r="P90" i="22"/>
  <c r="O90" i="22"/>
  <c r="N90" i="22"/>
  <c r="M90" i="22"/>
  <c r="L90" i="22"/>
  <c r="K90" i="22"/>
  <c r="J90" i="22"/>
  <c r="I90" i="22"/>
  <c r="H90" i="22"/>
  <c r="G90" i="22"/>
  <c r="F90" i="22"/>
  <c r="E90" i="22"/>
  <c r="D90" i="22"/>
  <c r="C90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AF66" i="22"/>
  <c r="AE66" i="22"/>
  <c r="AD66" i="22"/>
  <c r="AB66" i="22"/>
  <c r="Y66" i="22"/>
  <c r="X66" i="22"/>
  <c r="W66" i="22"/>
  <c r="V66" i="22"/>
  <c r="U66" i="22"/>
  <c r="T66" i="22"/>
  <c r="S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D66" i="22"/>
  <c r="C66" i="22"/>
  <c r="P65" i="22"/>
  <c r="O65" i="22"/>
  <c r="N65" i="22"/>
  <c r="M65" i="22"/>
  <c r="L65" i="22"/>
  <c r="K65" i="22"/>
  <c r="J65" i="22"/>
  <c r="I65" i="22"/>
  <c r="H65" i="22"/>
  <c r="G65" i="22"/>
  <c r="F65" i="22"/>
  <c r="E65" i="22"/>
  <c r="D65" i="22"/>
  <c r="C65" i="22"/>
  <c r="P64" i="22"/>
  <c r="O64" i="22"/>
  <c r="N64" i="22"/>
  <c r="M64" i="22"/>
  <c r="L64" i="22"/>
  <c r="K64" i="22"/>
  <c r="J64" i="22"/>
  <c r="I64" i="22"/>
  <c r="H64" i="22"/>
  <c r="G64" i="22"/>
  <c r="F64" i="22"/>
  <c r="E64" i="22"/>
  <c r="D64" i="22"/>
  <c r="C64" i="22"/>
  <c r="AF63" i="22"/>
  <c r="AE63" i="22"/>
  <c r="AD63" i="22"/>
  <c r="AC63" i="22"/>
  <c r="AB63" i="22"/>
  <c r="AA63" i="22"/>
  <c r="Z63" i="22"/>
  <c r="Y63" i="22"/>
  <c r="X63" i="22"/>
  <c r="W63" i="22"/>
  <c r="V63" i="22"/>
  <c r="U63" i="22"/>
  <c r="T63" i="22"/>
  <c r="S63" i="22"/>
  <c r="P63" i="22"/>
  <c r="O63" i="22"/>
  <c r="N63" i="22"/>
  <c r="M63" i="22"/>
  <c r="L63" i="22"/>
  <c r="K63" i="22"/>
  <c r="J63" i="22"/>
  <c r="I63" i="22"/>
  <c r="H63" i="22"/>
  <c r="G63" i="22"/>
  <c r="F63" i="22"/>
  <c r="E63" i="22"/>
  <c r="D63" i="22"/>
  <c r="C63" i="22"/>
  <c r="AF62" i="22"/>
  <c r="AE62" i="22"/>
  <c r="AD62" i="22"/>
  <c r="AC62" i="22"/>
  <c r="AB62" i="22"/>
  <c r="AA62" i="22"/>
  <c r="Z62" i="22"/>
  <c r="Y62" i="22"/>
  <c r="X62" i="22"/>
  <c r="W62" i="22"/>
  <c r="V62" i="22"/>
  <c r="U62" i="22"/>
  <c r="T62" i="22"/>
  <c r="S62" i="22"/>
  <c r="P62" i="22"/>
  <c r="O62" i="22"/>
  <c r="N62" i="22"/>
  <c r="M62" i="22"/>
  <c r="L62" i="22"/>
  <c r="K62" i="22"/>
  <c r="J62" i="22"/>
  <c r="I62" i="22"/>
  <c r="H62" i="22"/>
  <c r="G62" i="22"/>
  <c r="F62" i="22"/>
  <c r="E62" i="22"/>
  <c r="D62" i="22"/>
  <c r="C62" i="22"/>
  <c r="AF61" i="22"/>
  <c r="AE61" i="22"/>
  <c r="AD61" i="22"/>
  <c r="AC61" i="22"/>
  <c r="AB61" i="22"/>
  <c r="AA61" i="22"/>
  <c r="Z61" i="22"/>
  <c r="Y61" i="22"/>
  <c r="X61" i="22"/>
  <c r="W61" i="22"/>
  <c r="V61" i="22"/>
  <c r="U61" i="22"/>
  <c r="T61" i="22"/>
  <c r="S61" i="22"/>
  <c r="P61" i="22"/>
  <c r="O61" i="22"/>
  <c r="N61" i="22"/>
  <c r="M61" i="22"/>
  <c r="L61" i="22"/>
  <c r="K61" i="22"/>
  <c r="J61" i="22"/>
  <c r="I61" i="22"/>
  <c r="H61" i="22"/>
  <c r="G61" i="22"/>
  <c r="F61" i="22"/>
  <c r="E61" i="22"/>
  <c r="D61" i="22"/>
  <c r="C61" i="22"/>
  <c r="AF60" i="22"/>
  <c r="AE60" i="22"/>
  <c r="AD60" i="22"/>
  <c r="AC60" i="22"/>
  <c r="AB60" i="22"/>
  <c r="AA60" i="22"/>
  <c r="Z60" i="22"/>
  <c r="Y60" i="22"/>
  <c r="X60" i="22"/>
  <c r="W60" i="22"/>
  <c r="V60" i="22"/>
  <c r="U60" i="22"/>
  <c r="T60" i="22"/>
  <c r="S60" i="22"/>
  <c r="P60" i="22"/>
  <c r="O60" i="22"/>
  <c r="N60" i="22"/>
  <c r="M60" i="22"/>
  <c r="L60" i="22"/>
  <c r="K60" i="22"/>
  <c r="J60" i="22"/>
  <c r="I60" i="22"/>
  <c r="H60" i="22"/>
  <c r="G60" i="22"/>
  <c r="F60" i="22"/>
  <c r="E60" i="22"/>
  <c r="D60" i="22"/>
  <c r="C60" i="22"/>
  <c r="AF59" i="22"/>
  <c r="AE59" i="22"/>
  <c r="AD59" i="22"/>
  <c r="AC59" i="22"/>
  <c r="AB59" i="22"/>
  <c r="AA59" i="22"/>
  <c r="Z59" i="22"/>
  <c r="Y59" i="22"/>
  <c r="X59" i="22"/>
  <c r="W59" i="22"/>
  <c r="V59" i="22"/>
  <c r="U59" i="22"/>
  <c r="T59" i="22"/>
  <c r="S59" i="22"/>
  <c r="P59" i="22"/>
  <c r="O59" i="22"/>
  <c r="N59" i="22"/>
  <c r="M59" i="22"/>
  <c r="L59" i="22"/>
  <c r="K59" i="22"/>
  <c r="J59" i="22"/>
  <c r="I59" i="22"/>
  <c r="H59" i="22"/>
  <c r="G59" i="22"/>
  <c r="F59" i="22"/>
  <c r="E59" i="22"/>
  <c r="D59" i="22"/>
  <c r="C59" i="22"/>
  <c r="AF58" i="22"/>
  <c r="AE58" i="22"/>
  <c r="AD58" i="22"/>
  <c r="AC58" i="22"/>
  <c r="AB58" i="22"/>
  <c r="AA58" i="22"/>
  <c r="Z58" i="22"/>
  <c r="Y58" i="22"/>
  <c r="X58" i="22"/>
  <c r="W58" i="22"/>
  <c r="V58" i="22"/>
  <c r="U58" i="22"/>
  <c r="T58" i="22"/>
  <c r="S58" i="22"/>
  <c r="P58" i="22"/>
  <c r="O58" i="22"/>
  <c r="N58" i="22"/>
  <c r="M58" i="22"/>
  <c r="L58" i="22"/>
  <c r="K58" i="22"/>
  <c r="J58" i="22"/>
  <c r="I58" i="22"/>
  <c r="H58" i="22"/>
  <c r="G58" i="22"/>
  <c r="F58" i="22"/>
  <c r="E58" i="22"/>
  <c r="D58" i="22"/>
  <c r="C58" i="22"/>
  <c r="AF57" i="22"/>
  <c r="AE57" i="22"/>
  <c r="AD57" i="22"/>
  <c r="AC57" i="22"/>
  <c r="AB57" i="22"/>
  <c r="AA57" i="22"/>
  <c r="Z57" i="22"/>
  <c r="Y57" i="22"/>
  <c r="X57" i="22"/>
  <c r="W57" i="22"/>
  <c r="V57" i="22"/>
  <c r="U57" i="22"/>
  <c r="T57" i="22"/>
  <c r="S57" i="22"/>
  <c r="P57" i="22"/>
  <c r="O57" i="22"/>
  <c r="N57" i="22"/>
  <c r="M57" i="22"/>
  <c r="L57" i="22"/>
  <c r="K57" i="22"/>
  <c r="J57" i="22"/>
  <c r="I57" i="22"/>
  <c r="H57" i="22"/>
  <c r="G57" i="22"/>
  <c r="F57" i="22"/>
  <c r="E57" i="22"/>
  <c r="D57" i="22"/>
  <c r="C57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P48" i="22"/>
  <c r="O48" i="22"/>
  <c r="N48" i="22"/>
  <c r="M48" i="22"/>
  <c r="L48" i="22"/>
  <c r="K48" i="22"/>
  <c r="J48" i="22"/>
  <c r="I48" i="22"/>
  <c r="H48" i="22"/>
  <c r="G48" i="22"/>
  <c r="F48" i="22"/>
  <c r="E48" i="22"/>
  <c r="D48" i="22"/>
  <c r="C48" i="22"/>
  <c r="P47" i="22"/>
  <c r="O47" i="22"/>
  <c r="N47" i="22"/>
  <c r="M47" i="22"/>
  <c r="L47" i="22"/>
  <c r="K47" i="22"/>
  <c r="J47" i="22"/>
  <c r="I47" i="22"/>
  <c r="H47" i="22"/>
  <c r="G47" i="22"/>
  <c r="F47" i="22"/>
  <c r="E47" i="22"/>
  <c r="D47" i="22"/>
  <c r="C47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46" i="22"/>
  <c r="C46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AF35" i="22"/>
  <c r="AE35" i="22"/>
  <c r="AD35" i="22"/>
  <c r="AC35" i="22"/>
  <c r="AB35" i="22"/>
  <c r="AA35" i="22"/>
  <c r="Z35" i="22"/>
  <c r="Y35" i="22"/>
  <c r="X35" i="22"/>
  <c r="W35" i="22"/>
  <c r="V35" i="22"/>
  <c r="U35" i="22"/>
  <c r="T35" i="22"/>
  <c r="S35" i="22"/>
  <c r="AF34" i="22"/>
  <c r="AE34" i="22"/>
  <c r="AD34" i="22"/>
  <c r="AB34" i="22"/>
  <c r="Y34" i="22"/>
  <c r="X34" i="22"/>
  <c r="W34" i="22"/>
  <c r="V34" i="22"/>
  <c r="U34" i="22"/>
  <c r="T34" i="22"/>
  <c r="S34" i="22"/>
  <c r="P34" i="22"/>
  <c r="O34" i="22"/>
  <c r="N34" i="22"/>
  <c r="L34" i="22"/>
  <c r="I34" i="22"/>
  <c r="H34" i="22"/>
  <c r="G34" i="22"/>
  <c r="F34" i="22"/>
  <c r="E34" i="22"/>
  <c r="D34" i="22"/>
  <c r="C34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AF26" i="22"/>
  <c r="AE26" i="22"/>
  <c r="AD26" i="22"/>
  <c r="AC26" i="22"/>
  <c r="AB26" i="22"/>
  <c r="AA26" i="22"/>
  <c r="Z26" i="22"/>
  <c r="Y26" i="22"/>
  <c r="X26" i="22"/>
  <c r="W26" i="22"/>
  <c r="V26" i="22"/>
  <c r="U26" i="22"/>
  <c r="T26" i="22"/>
  <c r="S26" i="22"/>
  <c r="AF25" i="22"/>
  <c r="AE25" i="22"/>
  <c r="AD25" i="22"/>
  <c r="AC25" i="22"/>
  <c r="AB25" i="22"/>
  <c r="AA25" i="22"/>
  <c r="Z25" i="22"/>
  <c r="Y25" i="22"/>
  <c r="X25" i="22"/>
  <c r="W25" i="22"/>
  <c r="V25" i="22"/>
  <c r="U25" i="22"/>
  <c r="T25" i="22"/>
  <c r="S25" i="22"/>
  <c r="AF24" i="22"/>
  <c r="AE24" i="22"/>
  <c r="AD24" i="22"/>
  <c r="AC24" i="22"/>
  <c r="AB24" i="22"/>
  <c r="AA24" i="22"/>
  <c r="Z24" i="22"/>
  <c r="Y24" i="22"/>
  <c r="X24" i="22"/>
  <c r="W24" i="22"/>
  <c r="V24" i="22"/>
  <c r="U24" i="22"/>
  <c r="T24" i="22"/>
  <c r="S24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D9" i="20"/>
  <c r="D8" i="20"/>
  <c r="D7" i="20"/>
  <c r="D6" i="20"/>
  <c r="D5" i="20"/>
  <c r="M54" i="13" l="1"/>
  <c r="M62" i="13" s="1"/>
  <c r="J54" i="13"/>
  <c r="J62" i="13" s="1"/>
  <c r="I54" i="13"/>
  <c r="I62" i="13" s="1"/>
  <c r="F54" i="13"/>
  <c r="F62" i="13" s="1"/>
  <c r="K54" i="13"/>
  <c r="K62" i="13" s="1"/>
  <c r="C54" i="13"/>
  <c r="C62" i="13" s="1"/>
  <c r="G54" i="13"/>
  <c r="G62" i="13" s="1"/>
  <c r="L54" i="13"/>
  <c r="L62" i="13" s="1"/>
  <c r="D54" i="13"/>
  <c r="D62" i="13" s="1"/>
  <c r="H54" i="13"/>
  <c r="H62" i="13" s="1"/>
  <c r="E54" i="13"/>
  <c r="E62" i="13" s="1"/>
  <c r="B54" i="13"/>
  <c r="B62" i="13" s="1"/>
  <c r="L5" i="13"/>
  <c r="K10" i="13"/>
  <c r="D33" i="25"/>
  <c r="E33" i="25" s="1"/>
  <c r="E33" i="24"/>
  <c r="E7" i="15"/>
  <c r="E6" i="15" s="1"/>
  <c r="E7" i="16"/>
  <c r="E6" i="16" s="1"/>
  <c r="D33" i="28"/>
  <c r="E33" i="28" s="1"/>
  <c r="F41" i="15"/>
  <c r="E5" i="19"/>
  <c r="G42" i="19" s="1"/>
  <c r="E5" i="16"/>
  <c r="E7" i="18"/>
  <c r="E6" i="18" s="1"/>
  <c r="E5" i="18"/>
  <c r="G37" i="18" s="1"/>
  <c r="D33" i="14"/>
  <c r="E7" i="14"/>
  <c r="E6" i="14" s="1"/>
  <c r="E5" i="14"/>
  <c r="G28" i="14" s="1"/>
  <c r="E7" i="8"/>
  <c r="E6" i="8" s="1"/>
  <c r="B45" i="13" s="1"/>
  <c r="E5" i="8"/>
  <c r="D32" i="12"/>
  <c r="E7" i="12"/>
  <c r="E6" i="12" s="1"/>
  <c r="E5" i="12"/>
  <c r="D33" i="6"/>
  <c r="E7" i="6"/>
  <c r="E6" i="6" s="1"/>
  <c r="G27" i="6"/>
  <c r="E7" i="19"/>
  <c r="E6" i="19" s="1"/>
  <c r="D33" i="8"/>
  <c r="D32" i="6"/>
  <c r="D4" i="13"/>
  <c r="G7" i="16" l="1"/>
  <c r="G42" i="16"/>
  <c r="E34" i="12"/>
  <c r="G34" i="12" s="1"/>
  <c r="E32" i="12"/>
  <c r="F32" i="12" s="1"/>
  <c r="G28" i="8"/>
  <c r="G34" i="8"/>
  <c r="L10" i="13"/>
  <c r="M10" i="13"/>
  <c r="J53" i="13"/>
  <c r="I53" i="13"/>
  <c r="F53" i="13"/>
  <c r="K53" i="13"/>
  <c r="C53" i="13"/>
  <c r="G53" i="13"/>
  <c r="L53" i="13"/>
  <c r="D53" i="13"/>
  <c r="H53" i="13"/>
  <c r="M53" i="13"/>
  <c r="E53" i="13"/>
  <c r="B53" i="13"/>
  <c r="B61" i="13" s="1"/>
  <c r="B38" i="13" s="1"/>
  <c r="C50" i="13"/>
  <c r="G50" i="13"/>
  <c r="K50" i="13"/>
  <c r="B50" i="13"/>
  <c r="D50" i="13"/>
  <c r="H50" i="13"/>
  <c r="L50" i="13"/>
  <c r="J50" i="13"/>
  <c r="E50" i="13"/>
  <c r="I50" i="13"/>
  <c r="M50" i="13"/>
  <c r="F50" i="13"/>
  <c r="M57" i="13"/>
  <c r="B57" i="13"/>
  <c r="J57" i="13"/>
  <c r="I57" i="13"/>
  <c r="F57" i="13"/>
  <c r="K57" i="13"/>
  <c r="C57" i="13"/>
  <c r="G57" i="13"/>
  <c r="D57" i="13"/>
  <c r="H57" i="13"/>
  <c r="E57" i="13"/>
  <c r="L57" i="13"/>
  <c r="J55" i="13"/>
  <c r="K55" i="13"/>
  <c r="L55" i="13"/>
  <c r="D55" i="13"/>
  <c r="H55" i="13"/>
  <c r="E55" i="13"/>
  <c r="B55" i="13"/>
  <c r="I55" i="13"/>
  <c r="F55" i="13"/>
  <c r="C55" i="13"/>
  <c r="G55" i="13"/>
  <c r="M55" i="13"/>
  <c r="D31" i="28"/>
  <c r="I45" i="13"/>
  <c r="M45" i="13"/>
  <c r="J45" i="13"/>
  <c r="K45" i="13"/>
  <c r="L45" i="13"/>
  <c r="D49" i="13"/>
  <c r="H49" i="13"/>
  <c r="L49" i="13"/>
  <c r="E49" i="13"/>
  <c r="I49" i="13"/>
  <c r="M49" i="13"/>
  <c r="F49" i="13"/>
  <c r="J49" i="13"/>
  <c r="B49" i="13"/>
  <c r="C49" i="13"/>
  <c r="G49" i="13"/>
  <c r="K49" i="13"/>
  <c r="F48" i="13"/>
  <c r="C48" i="13"/>
  <c r="G48" i="13"/>
  <c r="K48" i="13"/>
  <c r="D48" i="13"/>
  <c r="H48" i="13"/>
  <c r="L48" i="13"/>
  <c r="E48" i="13"/>
  <c r="I48" i="13"/>
  <c r="M48" i="13"/>
  <c r="J48" i="13"/>
  <c r="B48" i="13"/>
  <c r="F47" i="13"/>
  <c r="J47" i="13"/>
  <c r="B47" i="13"/>
  <c r="C47" i="13"/>
  <c r="G47" i="13"/>
  <c r="K47" i="13"/>
  <c r="D47" i="13"/>
  <c r="H47" i="13"/>
  <c r="L47" i="13"/>
  <c r="E47" i="13"/>
  <c r="I47" i="13"/>
  <c r="M47" i="13"/>
  <c r="C45" i="13"/>
  <c r="G45" i="13"/>
  <c r="D45" i="13"/>
  <c r="H45" i="13"/>
  <c r="E45" i="13"/>
  <c r="F45" i="13"/>
  <c r="G33" i="28"/>
  <c r="F33" i="28"/>
  <c r="G33" i="24"/>
  <c r="F33" i="24"/>
  <c r="G33" i="25"/>
  <c r="F33" i="25"/>
  <c r="H8" i="23"/>
  <c r="D8" i="23"/>
  <c r="I8" i="23"/>
  <c r="E8" i="23"/>
  <c r="K8" i="23"/>
  <c r="G8" i="23"/>
  <c r="C8" i="23"/>
  <c r="J8" i="23"/>
  <c r="F8" i="23"/>
  <c r="B8" i="23"/>
  <c r="D2" i="13"/>
  <c r="D3" i="13"/>
  <c r="D32" i="15"/>
  <c r="E32" i="15" s="1"/>
  <c r="G13" i="19"/>
  <c r="D33" i="16"/>
  <c r="E33" i="16" s="1"/>
  <c r="G29" i="19"/>
  <c r="F10" i="16"/>
  <c r="G21" i="19"/>
  <c r="F14" i="16"/>
  <c r="F10" i="6"/>
  <c r="G16" i="6"/>
  <c r="G24" i="6"/>
  <c r="G41" i="6"/>
  <c r="F10" i="12"/>
  <c r="F14" i="12"/>
  <c r="F18" i="12"/>
  <c r="F22" i="12"/>
  <c r="F26" i="12"/>
  <c r="G36" i="12"/>
  <c r="G6" i="8"/>
  <c r="F9" i="8"/>
  <c r="F13" i="8"/>
  <c r="F17" i="8"/>
  <c r="F19" i="8"/>
  <c r="F23" i="8"/>
  <c r="F27" i="8"/>
  <c r="E35" i="8"/>
  <c r="G14" i="18"/>
  <c r="G22" i="18"/>
  <c r="G6" i="16"/>
  <c r="F9" i="16"/>
  <c r="F13" i="16"/>
  <c r="F17" i="16"/>
  <c r="F21" i="16"/>
  <c r="F25" i="16"/>
  <c r="F29" i="16"/>
  <c r="F37" i="16"/>
  <c r="F6" i="19"/>
  <c r="G11" i="19"/>
  <c r="G19" i="19"/>
  <c r="G27" i="19"/>
  <c r="E35" i="19"/>
  <c r="G35" i="19" s="1"/>
  <c r="G13" i="15"/>
  <c r="G21" i="15"/>
  <c r="G29" i="15"/>
  <c r="F7" i="6"/>
  <c r="F11" i="6"/>
  <c r="G18" i="6"/>
  <c r="G26" i="6"/>
  <c r="G33" i="6"/>
  <c r="F7" i="12"/>
  <c r="F11" i="12"/>
  <c r="F15" i="12"/>
  <c r="F19" i="12"/>
  <c r="F23" i="12"/>
  <c r="F27" i="12"/>
  <c r="G41" i="12"/>
  <c r="F10" i="8"/>
  <c r="F14" i="8"/>
  <c r="F20" i="8"/>
  <c r="F24" i="8"/>
  <c r="F28" i="8"/>
  <c r="E33" i="8"/>
  <c r="G33" i="8" s="1"/>
  <c r="G8" i="18"/>
  <c r="G16" i="18"/>
  <c r="G24" i="18"/>
  <c r="F18" i="16"/>
  <c r="F22" i="16"/>
  <c r="F26" i="16"/>
  <c r="G32" i="16"/>
  <c r="F42" i="16"/>
  <c r="G7" i="15"/>
  <c r="G15" i="15"/>
  <c r="G23" i="15"/>
  <c r="G41" i="15"/>
  <c r="F8" i="6"/>
  <c r="G12" i="6"/>
  <c r="G20" i="6"/>
  <c r="G28" i="6"/>
  <c r="E35" i="6"/>
  <c r="F35" i="6" s="1"/>
  <c r="F8" i="12"/>
  <c r="F12" i="12"/>
  <c r="F16" i="12"/>
  <c r="F20" i="12"/>
  <c r="F24" i="12"/>
  <c r="F28" i="12"/>
  <c r="G33" i="12"/>
  <c r="F7" i="8"/>
  <c r="F11" i="8"/>
  <c r="F15" i="8"/>
  <c r="G18" i="8"/>
  <c r="F21" i="8"/>
  <c r="F25" i="8"/>
  <c r="F29" i="8"/>
  <c r="F37" i="8"/>
  <c r="G10" i="18"/>
  <c r="G18" i="18"/>
  <c r="G26" i="18"/>
  <c r="F7" i="16"/>
  <c r="F11" i="16"/>
  <c r="F15" i="16"/>
  <c r="F19" i="16"/>
  <c r="F23" i="16"/>
  <c r="F27" i="16"/>
  <c r="F34" i="16"/>
  <c r="G7" i="19"/>
  <c r="G15" i="19"/>
  <c r="G23" i="19"/>
  <c r="F32" i="19"/>
  <c r="G9" i="15"/>
  <c r="G17" i="15"/>
  <c r="G25" i="15"/>
  <c r="G6" i="6"/>
  <c r="F9" i="6"/>
  <c r="G14" i="6"/>
  <c r="G22" i="6"/>
  <c r="G36" i="6"/>
  <c r="G6" i="12"/>
  <c r="F9" i="12"/>
  <c r="F13" i="12"/>
  <c r="F17" i="12"/>
  <c r="F21" i="12"/>
  <c r="F25" i="12"/>
  <c r="F29" i="12"/>
  <c r="E35" i="12"/>
  <c r="F35" i="12" s="1"/>
  <c r="F8" i="8"/>
  <c r="F12" i="8"/>
  <c r="F16" i="8"/>
  <c r="F22" i="8"/>
  <c r="F26" i="8"/>
  <c r="G32" i="8"/>
  <c r="F34" i="8"/>
  <c r="F42" i="8"/>
  <c r="F6" i="18"/>
  <c r="G12" i="18"/>
  <c r="G20" i="18"/>
  <c r="G28" i="18"/>
  <c r="F8" i="16"/>
  <c r="F12" i="16"/>
  <c r="F16" i="16"/>
  <c r="F20" i="16"/>
  <c r="F24" i="16"/>
  <c r="F28" i="16"/>
  <c r="E35" i="16"/>
  <c r="G35" i="16" s="1"/>
  <c r="G9" i="19"/>
  <c r="G17" i="19"/>
  <c r="G25" i="19"/>
  <c r="F6" i="15"/>
  <c r="G11" i="15"/>
  <c r="G19" i="15"/>
  <c r="G27" i="15"/>
  <c r="D31" i="19"/>
  <c r="E31" i="12"/>
  <c r="D31" i="14"/>
  <c r="E31" i="14" s="1"/>
  <c r="E31" i="6"/>
  <c r="F6" i="6"/>
  <c r="G7" i="6"/>
  <c r="G9" i="6"/>
  <c r="G11" i="6"/>
  <c r="G15" i="6"/>
  <c r="G19" i="6"/>
  <c r="G23" i="6"/>
  <c r="G12" i="14"/>
  <c r="G20" i="14"/>
  <c r="G41" i="14"/>
  <c r="G36" i="14"/>
  <c r="E35" i="14"/>
  <c r="G33" i="14"/>
  <c r="F41" i="14"/>
  <c r="F28" i="14"/>
  <c r="F26" i="14"/>
  <c r="F24" i="14"/>
  <c r="F22" i="14"/>
  <c r="F20" i="14"/>
  <c r="F18" i="14"/>
  <c r="F16" i="14"/>
  <c r="F14" i="14"/>
  <c r="F12" i="14"/>
  <c r="F10" i="14"/>
  <c r="F8" i="14"/>
  <c r="G6" i="14"/>
  <c r="E34" i="14"/>
  <c r="G29" i="14"/>
  <c r="G27" i="14"/>
  <c r="G25" i="14"/>
  <c r="G23" i="14"/>
  <c r="G21" i="14"/>
  <c r="G19" i="14"/>
  <c r="G17" i="14"/>
  <c r="G15" i="14"/>
  <c r="G13" i="14"/>
  <c r="G11" i="14"/>
  <c r="G9" i="14"/>
  <c r="G7" i="14"/>
  <c r="F6" i="14"/>
  <c r="F36" i="14"/>
  <c r="F33" i="14"/>
  <c r="F29" i="14"/>
  <c r="F27" i="14"/>
  <c r="F25" i="14"/>
  <c r="F23" i="14"/>
  <c r="F21" i="14"/>
  <c r="F19" i="14"/>
  <c r="F17" i="14"/>
  <c r="F15" i="14"/>
  <c r="F13" i="14"/>
  <c r="F11" i="14"/>
  <c r="F9" i="14"/>
  <c r="F7" i="14"/>
  <c r="G10" i="14"/>
  <c r="G18" i="14"/>
  <c r="G26" i="14"/>
  <c r="G14" i="14"/>
  <c r="G22" i="14"/>
  <c r="F41" i="6"/>
  <c r="F36" i="6"/>
  <c r="F33" i="6"/>
  <c r="E32" i="6"/>
  <c r="F28" i="6"/>
  <c r="F26" i="6"/>
  <c r="F24" i="6"/>
  <c r="F22" i="6"/>
  <c r="F20" i="6"/>
  <c r="F18" i="6"/>
  <c r="F16" i="6"/>
  <c r="F14" i="6"/>
  <c r="F12" i="6"/>
  <c r="E34" i="6"/>
  <c r="F29" i="6"/>
  <c r="F27" i="6"/>
  <c r="F25" i="6"/>
  <c r="F23" i="6"/>
  <c r="F21" i="6"/>
  <c r="F19" i="6"/>
  <c r="F17" i="6"/>
  <c r="F15" i="6"/>
  <c r="F13" i="6"/>
  <c r="G8" i="6"/>
  <c r="G10" i="6"/>
  <c r="G13" i="6"/>
  <c r="G17" i="6"/>
  <c r="G21" i="6"/>
  <c r="G25" i="6"/>
  <c r="G29" i="6"/>
  <c r="G8" i="14"/>
  <c r="G16" i="14"/>
  <c r="G24" i="14"/>
  <c r="F6" i="12"/>
  <c r="G7" i="12"/>
  <c r="G9" i="12"/>
  <c r="G11" i="12"/>
  <c r="G13" i="12"/>
  <c r="G15" i="12"/>
  <c r="G17" i="12"/>
  <c r="G19" i="12"/>
  <c r="G21" i="12"/>
  <c r="G23" i="12"/>
  <c r="G25" i="12"/>
  <c r="G27" i="12"/>
  <c r="G29" i="12"/>
  <c r="F33" i="12"/>
  <c r="F36" i="12"/>
  <c r="F41" i="12"/>
  <c r="G8" i="8"/>
  <c r="G10" i="8"/>
  <c r="G12" i="8"/>
  <c r="G14" i="8"/>
  <c r="G16" i="8"/>
  <c r="F18" i="8"/>
  <c r="G19" i="8"/>
  <c r="G21" i="8"/>
  <c r="G23" i="8"/>
  <c r="G25" i="8"/>
  <c r="G27" i="8"/>
  <c r="G29" i="8"/>
  <c r="F32" i="8"/>
  <c r="E36" i="8"/>
  <c r="G37" i="8"/>
  <c r="G42" i="8"/>
  <c r="G9" i="18"/>
  <c r="G13" i="18"/>
  <c r="G17" i="18"/>
  <c r="G21" i="18"/>
  <c r="G25" i="18"/>
  <c r="G29" i="18"/>
  <c r="F32" i="18"/>
  <c r="G34" i="18"/>
  <c r="G8" i="12"/>
  <c r="G10" i="12"/>
  <c r="G12" i="12"/>
  <c r="G14" i="12"/>
  <c r="G16" i="12"/>
  <c r="G18" i="12"/>
  <c r="G20" i="12"/>
  <c r="G22" i="12"/>
  <c r="G24" i="12"/>
  <c r="G26" i="12"/>
  <c r="G28" i="12"/>
  <c r="F6" i="8"/>
  <c r="G7" i="8"/>
  <c r="G9" i="8"/>
  <c r="G11" i="8"/>
  <c r="G13" i="8"/>
  <c r="G15" i="8"/>
  <c r="G17" i="8"/>
  <c r="G20" i="8"/>
  <c r="G22" i="8"/>
  <c r="G24" i="8"/>
  <c r="G26" i="8"/>
  <c r="E35" i="18"/>
  <c r="G32" i="18"/>
  <c r="F28" i="18"/>
  <c r="F26" i="18"/>
  <c r="F24" i="18"/>
  <c r="F22" i="18"/>
  <c r="F20" i="18"/>
  <c r="F18" i="18"/>
  <c r="F16" i="18"/>
  <c r="F14" i="18"/>
  <c r="F12" i="18"/>
  <c r="F10" i="18"/>
  <c r="F8" i="18"/>
  <c r="G6" i="18"/>
  <c r="F42" i="18"/>
  <c r="F37" i="18"/>
  <c r="F34" i="18"/>
  <c r="F29" i="18"/>
  <c r="F27" i="18"/>
  <c r="F25" i="18"/>
  <c r="F23" i="18"/>
  <c r="F21" i="18"/>
  <c r="F19" i="18"/>
  <c r="F17" i="18"/>
  <c r="F15" i="18"/>
  <c r="F13" i="18"/>
  <c r="F11" i="18"/>
  <c r="F9" i="18"/>
  <c r="F7" i="18"/>
  <c r="G7" i="18"/>
  <c r="G11" i="18"/>
  <c r="G15" i="18"/>
  <c r="G19" i="18"/>
  <c r="G23" i="18"/>
  <c r="G27" i="18"/>
  <c r="E36" i="18"/>
  <c r="G42" i="18"/>
  <c r="G8" i="16"/>
  <c r="G10" i="16"/>
  <c r="G12" i="16"/>
  <c r="G14" i="16"/>
  <c r="G16" i="16"/>
  <c r="G18" i="16"/>
  <c r="G20" i="16"/>
  <c r="G22" i="16"/>
  <c r="G24" i="16"/>
  <c r="G26" i="16"/>
  <c r="G28" i="16"/>
  <c r="G6" i="19"/>
  <c r="F8" i="19"/>
  <c r="F10" i="19"/>
  <c r="F12" i="19"/>
  <c r="F14" i="19"/>
  <c r="F16" i="19"/>
  <c r="F18" i="19"/>
  <c r="F20" i="19"/>
  <c r="F22" i="19"/>
  <c r="F24" i="19"/>
  <c r="F26" i="19"/>
  <c r="F28" i="19"/>
  <c r="G32" i="19"/>
  <c r="G6" i="15"/>
  <c r="F8" i="15"/>
  <c r="F10" i="15"/>
  <c r="F12" i="15"/>
  <c r="F14" i="15"/>
  <c r="F16" i="15"/>
  <c r="F18" i="15"/>
  <c r="F20" i="15"/>
  <c r="F22" i="15"/>
  <c r="F24" i="15"/>
  <c r="F26" i="15"/>
  <c r="F28" i="15"/>
  <c r="F33" i="15"/>
  <c r="F36" i="15"/>
  <c r="G8" i="19"/>
  <c r="G10" i="19"/>
  <c r="G12" i="19"/>
  <c r="G14" i="19"/>
  <c r="G16" i="19"/>
  <c r="G18" i="19"/>
  <c r="G20" i="19"/>
  <c r="G22" i="19"/>
  <c r="G24" i="19"/>
  <c r="G26" i="19"/>
  <c r="G28" i="19"/>
  <c r="F34" i="19"/>
  <c r="F37" i="19"/>
  <c r="F42" i="19"/>
  <c r="G8" i="15"/>
  <c r="G10" i="15"/>
  <c r="G12" i="15"/>
  <c r="G14" i="15"/>
  <c r="G16" i="15"/>
  <c r="G18" i="15"/>
  <c r="G20" i="15"/>
  <c r="G22" i="15"/>
  <c r="G24" i="15"/>
  <c r="G26" i="15"/>
  <c r="G28" i="15"/>
  <c r="G33" i="15"/>
  <c r="E35" i="15"/>
  <c r="G36" i="15"/>
  <c r="F6" i="16"/>
  <c r="G9" i="16"/>
  <c r="G11" i="16"/>
  <c r="G13" i="16"/>
  <c r="G15" i="16"/>
  <c r="G17" i="16"/>
  <c r="G19" i="16"/>
  <c r="G21" i="16"/>
  <c r="G23" i="16"/>
  <c r="G25" i="16"/>
  <c r="G27" i="16"/>
  <c r="G29" i="16"/>
  <c r="F32" i="16"/>
  <c r="G34" i="16"/>
  <c r="E36" i="16"/>
  <c r="G37" i="16"/>
  <c r="F7" i="19"/>
  <c r="F9" i="19"/>
  <c r="F11" i="19"/>
  <c r="F13" i="19"/>
  <c r="F15" i="19"/>
  <c r="F17" i="19"/>
  <c r="F19" i="19"/>
  <c r="F21" i="19"/>
  <c r="F23" i="19"/>
  <c r="F25" i="19"/>
  <c r="F27" i="19"/>
  <c r="F29" i="19"/>
  <c r="G34" i="19"/>
  <c r="E36" i="19"/>
  <c r="G37" i="19"/>
  <c r="F7" i="15"/>
  <c r="F9" i="15"/>
  <c r="F11" i="15"/>
  <c r="F13" i="15"/>
  <c r="F15" i="15"/>
  <c r="F17" i="15"/>
  <c r="F19" i="15"/>
  <c r="F21" i="15"/>
  <c r="F23" i="15"/>
  <c r="F25" i="15"/>
  <c r="F27" i="15"/>
  <c r="F29" i="15"/>
  <c r="E34" i="15"/>
  <c r="M65" i="13" l="1"/>
  <c r="J61" i="13"/>
  <c r="J65" i="13"/>
  <c r="E65" i="13"/>
  <c r="E31" i="18"/>
  <c r="E31" i="16"/>
  <c r="I65" i="13"/>
  <c r="E63" i="13"/>
  <c r="K63" i="13"/>
  <c r="J63" i="13"/>
  <c r="M61" i="13"/>
  <c r="L61" i="13"/>
  <c r="F61" i="13"/>
  <c r="G61" i="13"/>
  <c r="C65" i="13"/>
  <c r="F34" i="12"/>
  <c r="F63" i="13"/>
  <c r="H63" i="13"/>
  <c r="I61" i="13"/>
  <c r="C61" i="13"/>
  <c r="H61" i="13"/>
  <c r="B65" i="13"/>
  <c r="B41" i="13" s="1"/>
  <c r="G65" i="13"/>
  <c r="L65" i="13"/>
  <c r="H65" i="13"/>
  <c r="D61" i="13"/>
  <c r="K61" i="13"/>
  <c r="D65" i="13"/>
  <c r="K65" i="13"/>
  <c r="F65" i="13"/>
  <c r="C63" i="13"/>
  <c r="M63" i="13"/>
  <c r="I63" i="13"/>
  <c r="D63" i="13"/>
  <c r="B63" i="13"/>
  <c r="B39" i="13" s="1"/>
  <c r="E61" i="13"/>
  <c r="L63" i="13"/>
  <c r="G63" i="13"/>
  <c r="M56" i="13"/>
  <c r="M64" i="13" s="1"/>
  <c r="J56" i="13"/>
  <c r="J64" i="13" s="1"/>
  <c r="I56" i="13"/>
  <c r="I64" i="13" s="1"/>
  <c r="F56" i="13"/>
  <c r="F64" i="13" s="1"/>
  <c r="K56" i="13"/>
  <c r="K64" i="13" s="1"/>
  <c r="C56" i="13"/>
  <c r="C64" i="13" s="1"/>
  <c r="G56" i="13"/>
  <c r="G64" i="13" s="1"/>
  <c r="L56" i="13"/>
  <c r="L64" i="13" s="1"/>
  <c r="D56" i="13"/>
  <c r="D64" i="13" s="1"/>
  <c r="H56" i="13"/>
  <c r="H64" i="13" s="1"/>
  <c r="E56" i="13"/>
  <c r="E64" i="13" s="1"/>
  <c r="B56" i="13"/>
  <c r="B64" i="13" s="1"/>
  <c r="G31" i="14"/>
  <c r="G31" i="6"/>
  <c r="E31" i="8"/>
  <c r="F31" i="8" s="1"/>
  <c r="F31" i="15"/>
  <c r="E31" i="28"/>
  <c r="F32" i="15"/>
  <c r="G31" i="24"/>
  <c r="G30" i="24" s="1"/>
  <c r="G40" i="24" s="1"/>
  <c r="J7" i="23"/>
  <c r="F7" i="23"/>
  <c r="B7" i="23"/>
  <c r="K7" i="23"/>
  <c r="G7" i="23"/>
  <c r="C7" i="23"/>
  <c r="I7" i="23"/>
  <c r="E7" i="23"/>
  <c r="H7" i="23"/>
  <c r="D7" i="23"/>
  <c r="G35" i="12"/>
  <c r="G35" i="6"/>
  <c r="D33" i="18"/>
  <c r="E33" i="18" s="1"/>
  <c r="G33" i="18" s="1"/>
  <c r="D32" i="14"/>
  <c r="F35" i="19"/>
  <c r="F33" i="8"/>
  <c r="F35" i="16"/>
  <c r="F35" i="8"/>
  <c r="G35" i="8"/>
  <c r="F33" i="16"/>
  <c r="G33" i="16"/>
  <c r="G32" i="12"/>
  <c r="G34" i="15"/>
  <c r="F34" i="15"/>
  <c r="G32" i="6"/>
  <c r="F32" i="6"/>
  <c r="G36" i="16"/>
  <c r="F36" i="16"/>
  <c r="F36" i="18"/>
  <c r="G36" i="18"/>
  <c r="G34" i="6"/>
  <c r="F34" i="6"/>
  <c r="G36" i="19"/>
  <c r="F36" i="19"/>
  <c r="G35" i="18"/>
  <c r="F35" i="18"/>
  <c r="F35" i="15"/>
  <c r="G35" i="15"/>
  <c r="G36" i="8"/>
  <c r="F36" i="8"/>
  <c r="G35" i="14"/>
  <c r="F35" i="14"/>
  <c r="F34" i="14"/>
  <c r="G34" i="14"/>
  <c r="E30" i="18" l="1"/>
  <c r="E32" i="14"/>
  <c r="G32" i="14" s="1"/>
  <c r="G30" i="14" s="1"/>
  <c r="G39" i="14" s="1"/>
  <c r="C58" i="13"/>
  <c r="G58" i="13"/>
  <c r="K58" i="13"/>
  <c r="D58" i="13"/>
  <c r="H58" i="13"/>
  <c r="L58" i="13"/>
  <c r="E58" i="13"/>
  <c r="B58" i="13"/>
  <c r="M58" i="13"/>
  <c r="F58" i="13"/>
  <c r="J58" i="13"/>
  <c r="I58" i="13"/>
  <c r="E30" i="6"/>
  <c r="F30" i="6" s="1"/>
  <c r="F31" i="14"/>
  <c r="E30" i="12"/>
  <c r="E39" i="12" s="1"/>
  <c r="E31" i="25"/>
  <c r="F31" i="25" s="1"/>
  <c r="F31" i="24"/>
  <c r="E30" i="24"/>
  <c r="F30" i="24" s="1"/>
  <c r="G31" i="8"/>
  <c r="G30" i="8" s="1"/>
  <c r="G40" i="8" s="1"/>
  <c r="E30" i="8"/>
  <c r="E40" i="8" s="1"/>
  <c r="E43" i="8" s="1"/>
  <c r="G31" i="15"/>
  <c r="F31" i="6"/>
  <c r="L39" i="13"/>
  <c r="M40" i="13"/>
  <c r="E37" i="13"/>
  <c r="D37" i="13"/>
  <c r="H37" i="13"/>
  <c r="C37" i="13"/>
  <c r="G37" i="13"/>
  <c r="F37" i="13"/>
  <c r="B37" i="13"/>
  <c r="J40" i="13"/>
  <c r="F31" i="12"/>
  <c r="F39" i="13"/>
  <c r="C40" i="13"/>
  <c r="E30" i="16"/>
  <c r="G31" i="12"/>
  <c r="G30" i="12" s="1"/>
  <c r="G39" i="12" s="1"/>
  <c r="E31" i="19"/>
  <c r="G31" i="19" s="1"/>
  <c r="D39" i="13"/>
  <c r="H39" i="13"/>
  <c r="G39" i="13"/>
  <c r="F40" i="13"/>
  <c r="G38" i="13"/>
  <c r="C39" i="13"/>
  <c r="E39" i="13"/>
  <c r="I41" i="13"/>
  <c r="L41" i="13"/>
  <c r="E38" i="13"/>
  <c r="F38" i="13"/>
  <c r="B40" i="13"/>
  <c r="L40" i="13"/>
  <c r="K40" i="13"/>
  <c r="E40" i="13"/>
  <c r="K41" i="13"/>
  <c r="K39" i="13"/>
  <c r="H40" i="13"/>
  <c r="D40" i="13"/>
  <c r="F41" i="13"/>
  <c r="E41" i="13"/>
  <c r="D41" i="13"/>
  <c r="G41" i="13"/>
  <c r="H41" i="13"/>
  <c r="J41" i="13"/>
  <c r="I40" i="13"/>
  <c r="C41" i="13"/>
  <c r="H38" i="13"/>
  <c r="C38" i="13"/>
  <c r="M39" i="13"/>
  <c r="G40" i="13"/>
  <c r="J39" i="13"/>
  <c r="I39" i="13"/>
  <c r="M41" i="13"/>
  <c r="D38" i="13"/>
  <c r="M38" i="13"/>
  <c r="M37" i="13"/>
  <c r="J38" i="13"/>
  <c r="J37" i="13"/>
  <c r="K37" i="13"/>
  <c r="K38" i="13"/>
  <c r="L37" i="13"/>
  <c r="L38" i="13"/>
  <c r="I38" i="13"/>
  <c r="I37" i="13"/>
  <c r="E30" i="15"/>
  <c r="F30" i="15" s="1"/>
  <c r="G32" i="15"/>
  <c r="G31" i="28"/>
  <c r="G30" i="28" s="1"/>
  <c r="G40" i="28" s="1"/>
  <c r="F31" i="28"/>
  <c r="E30" i="28"/>
  <c r="E33" i="19"/>
  <c r="F33" i="19" s="1"/>
  <c r="K6" i="23"/>
  <c r="G6" i="23"/>
  <c r="C6" i="23"/>
  <c r="F6" i="23"/>
  <c r="B6" i="23"/>
  <c r="J6" i="23"/>
  <c r="I6" i="23"/>
  <c r="E6" i="23"/>
  <c r="D6" i="23"/>
  <c r="H6" i="23"/>
  <c r="F33" i="18"/>
  <c r="G30" i="6"/>
  <c r="G39" i="6" s="1"/>
  <c r="E30" i="14" l="1"/>
  <c r="F30" i="14" s="1"/>
  <c r="E66" i="13"/>
  <c r="E42" i="13" s="1"/>
  <c r="F66" i="13"/>
  <c r="F42" i="13" s="1"/>
  <c r="L66" i="13"/>
  <c r="L42" i="13" s="1"/>
  <c r="G66" i="13"/>
  <c r="G42" i="13" s="1"/>
  <c r="K66" i="13"/>
  <c r="K42" i="13" s="1"/>
  <c r="M66" i="13"/>
  <c r="M42" i="13" s="1"/>
  <c r="H66" i="13"/>
  <c r="H42" i="13" s="1"/>
  <c r="C66" i="13"/>
  <c r="C42" i="13" s="1"/>
  <c r="J66" i="13"/>
  <c r="J42" i="13" s="1"/>
  <c r="I66" i="13"/>
  <c r="I42" i="13" s="1"/>
  <c r="B66" i="13"/>
  <c r="B42" i="13" s="1"/>
  <c r="D66" i="13"/>
  <c r="D42" i="13" s="1"/>
  <c r="F32" i="14"/>
  <c r="G30" i="15"/>
  <c r="G39" i="15" s="1"/>
  <c r="E39" i="6"/>
  <c r="E42" i="6" s="1"/>
  <c r="E45" i="6" s="1"/>
  <c r="F30" i="8"/>
  <c r="E40" i="24"/>
  <c r="E43" i="24" s="1"/>
  <c r="G43" i="24" s="1"/>
  <c r="G46" i="24" s="1"/>
  <c r="E48" i="24" s="1"/>
  <c r="F7" i="13" s="1"/>
  <c r="G31" i="18"/>
  <c r="G30" i="18" s="1"/>
  <c r="G40" i="18" s="1"/>
  <c r="F31" i="16"/>
  <c r="F30" i="12"/>
  <c r="E30" i="25"/>
  <c r="E40" i="25" s="1"/>
  <c r="E43" i="25" s="1"/>
  <c r="E46" i="25" s="1"/>
  <c r="G31" i="25"/>
  <c r="G30" i="25" s="1"/>
  <c r="G40" i="25" s="1"/>
  <c r="F31" i="18"/>
  <c r="G31" i="16"/>
  <c r="G30" i="16" s="1"/>
  <c r="G40" i="16" s="1"/>
  <c r="F31" i="19"/>
  <c r="E39" i="15"/>
  <c r="E42" i="15" s="1"/>
  <c r="E45" i="15" s="1"/>
  <c r="F30" i="28"/>
  <c r="E40" i="28"/>
  <c r="E43" i="28" s="1"/>
  <c r="E30" i="19"/>
  <c r="E40" i="19" s="1"/>
  <c r="G33" i="19"/>
  <c r="G30" i="19" s="1"/>
  <c r="G40" i="19" s="1"/>
  <c r="E42" i="12"/>
  <c r="E45" i="12" s="1"/>
  <c r="F30" i="16"/>
  <c r="E40" i="16"/>
  <c r="E46" i="8"/>
  <c r="E40" i="18"/>
  <c r="F30" i="18"/>
  <c r="E39" i="14" l="1"/>
  <c r="E42" i="14" s="1"/>
  <c r="E45" i="14" s="1"/>
  <c r="F43" i="24"/>
  <c r="E46" i="24"/>
  <c r="F30" i="25"/>
  <c r="F42" i="15"/>
  <c r="G42" i="15"/>
  <c r="G45" i="15" s="1"/>
  <c r="F6" i="13" s="1"/>
  <c r="E46" i="28"/>
  <c r="F43" i="28"/>
  <c r="G43" i="28"/>
  <c r="G46" i="28" s="1"/>
  <c r="E48" i="28" s="1"/>
  <c r="F12" i="13" s="1"/>
  <c r="F30" i="19"/>
  <c r="G43" i="25"/>
  <c r="G46" i="25" s="1"/>
  <c r="E48" i="25" s="1"/>
  <c r="F11" i="13" s="1"/>
  <c r="F43" i="25"/>
  <c r="E43" i="18"/>
  <c r="E46" i="18" s="1"/>
  <c r="E43" i="19"/>
  <c r="E43" i="16"/>
  <c r="G42" i="12"/>
  <c r="G45" i="12" s="1"/>
  <c r="E47" i="12" s="1"/>
  <c r="F4" i="13" s="1"/>
  <c r="F42" i="12"/>
  <c r="F43" i="8"/>
  <c r="G43" i="8"/>
  <c r="G42" i="6"/>
  <c r="G45" i="6" s="1"/>
  <c r="E47" i="6" s="1"/>
  <c r="F3" i="13" s="1"/>
  <c r="F42" i="6"/>
  <c r="G42" i="14" l="1"/>
  <c r="G45" i="14" s="1"/>
  <c r="E47" i="14" s="1"/>
  <c r="F5" i="13" s="1"/>
  <c r="F42" i="14"/>
  <c r="E47" i="15"/>
  <c r="G11" i="13"/>
  <c r="I11" i="13" s="1"/>
  <c r="G7" i="13"/>
  <c r="I7" i="13" s="1"/>
  <c r="G46" i="8"/>
  <c r="E48" i="8" s="1"/>
  <c r="F2" i="13" s="1"/>
  <c r="D32" i="13"/>
  <c r="E32" i="13" s="1"/>
  <c r="G12" i="13"/>
  <c r="I12" i="13" s="1"/>
  <c r="G4" i="13"/>
  <c r="I4" i="13" s="1"/>
  <c r="G3" i="13"/>
  <c r="I3" i="13" s="1"/>
  <c r="G43" i="16"/>
  <c r="G46" i="16" s="1"/>
  <c r="E48" i="16" s="1"/>
  <c r="F8" i="13" s="1"/>
  <c r="F43" i="16"/>
  <c r="E46" i="16"/>
  <c r="G43" i="18"/>
  <c r="G46" i="18" s="1"/>
  <c r="E48" i="18" s="1"/>
  <c r="F9" i="13" s="1"/>
  <c r="F43" i="18"/>
  <c r="G43" i="19"/>
  <c r="G46" i="19" s="1"/>
  <c r="E48" i="19" s="1"/>
  <c r="F10" i="13" s="1"/>
  <c r="F43" i="19"/>
  <c r="E46" i="19"/>
  <c r="H12" i="13" l="1"/>
  <c r="I30" i="13"/>
  <c r="H8" i="13"/>
  <c r="H9" i="13"/>
  <c r="H10" i="13"/>
  <c r="F30" i="13"/>
  <c r="R2" i="13"/>
  <c r="H7" i="13"/>
  <c r="G6" i="13"/>
  <c r="I6" i="13" s="1"/>
  <c r="I32" i="13"/>
  <c r="G32" i="13" s="1"/>
  <c r="H6" i="13"/>
  <c r="H4" i="13"/>
  <c r="H2" i="13"/>
  <c r="H3" i="13"/>
  <c r="H11" i="13"/>
  <c r="G2" i="13"/>
  <c r="I2" i="13" s="1"/>
  <c r="I34" i="13"/>
  <c r="G5" i="13"/>
  <c r="I5" i="13" s="1"/>
  <c r="H5" i="13"/>
  <c r="D30" i="13" l="1"/>
  <c r="E30" i="13" s="1"/>
  <c r="H30" i="13" s="1"/>
  <c r="F34" i="13"/>
  <c r="F32" i="13"/>
  <c r="H32" i="13" s="1"/>
  <c r="R10" i="13"/>
  <c r="D34" i="13"/>
  <c r="E34" i="13" s="1"/>
  <c r="R8" i="13"/>
  <c r="R6" i="13"/>
  <c r="R9" i="13"/>
  <c r="R5" i="13"/>
  <c r="R11" i="13"/>
  <c r="R12" i="13"/>
  <c r="R3" i="13"/>
  <c r="R7" i="13"/>
  <c r="R4" i="13"/>
  <c r="G8" i="13"/>
  <c r="I8" i="13" s="1"/>
  <c r="G9" i="13"/>
  <c r="I9" i="13" s="1"/>
  <c r="G10" i="13"/>
  <c r="I10" i="13" s="1"/>
  <c r="G34" i="13" l="1"/>
  <c r="H34" i="13"/>
  <c r="G30" i="13"/>
  <c r="K2" i="23"/>
  <c r="G2" i="23"/>
  <c r="D2" i="23"/>
  <c r="F2" i="23"/>
  <c r="E2" i="23"/>
  <c r="J2" i="23"/>
  <c r="H2" i="23"/>
  <c r="C2" i="23"/>
  <c r="I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<sst xmlns="http://schemas.openxmlformats.org/spreadsheetml/2006/main" count="1383" uniqueCount="306">
  <si>
    <t>€</t>
  </si>
  <si>
    <t>%</t>
  </si>
  <si>
    <t>€/KM</t>
  </si>
  <si>
    <t>KMS DIARIOS</t>
  </si>
  <si>
    <t>KMS ANUALES</t>
  </si>
  <si>
    <t>KMS mensuales</t>
  </si>
  <si>
    <t>GASTOS FIJOS</t>
  </si>
  <si>
    <t>Cuota TRACTORA</t>
  </si>
  <si>
    <t>Seguro tract. ( a 3os + Propios+seguro mercancias)</t>
  </si>
  <si>
    <t>Impto circulación Tract.</t>
  </si>
  <si>
    <t>Mantenimiento Tract.</t>
  </si>
  <si>
    <t>Reparación Tract.+ Equipo</t>
  </si>
  <si>
    <t>Equipo Tract.</t>
  </si>
  <si>
    <t>Siniestro Tract.</t>
  </si>
  <si>
    <t>Cuota PLATAFORMA</t>
  </si>
  <si>
    <t>Seguro Plat</t>
  </si>
  <si>
    <t>Impto circulación Plat</t>
  </si>
  <si>
    <t>Mantenimiento Plataforma + reparación</t>
  </si>
  <si>
    <t>Equipo Plat</t>
  </si>
  <si>
    <t>Siniestro Plat</t>
  </si>
  <si>
    <t>TELÉFONO</t>
  </si>
  <si>
    <t>Camb Cont (gtos fros)</t>
  </si>
  <si>
    <t>Relaciones Públicas</t>
  </si>
  <si>
    <t>Gastos Var.</t>
  </si>
  <si>
    <t>Amortización Cont.</t>
  </si>
  <si>
    <t>Mantenimiento (Gruas)</t>
  </si>
  <si>
    <t>Suministros</t>
  </si>
  <si>
    <t>Compras</t>
  </si>
  <si>
    <t>Reg. Cierre</t>
  </si>
  <si>
    <t>GASTOS VARIABLES</t>
  </si>
  <si>
    <t>GASTO PERSONAL</t>
  </si>
  <si>
    <t>OTROS GASTOS</t>
  </si>
  <si>
    <t>COSTE TOTAL</t>
  </si>
  <si>
    <t>Planificación Flota</t>
  </si>
  <si>
    <t>Estructura Indirecta</t>
  </si>
  <si>
    <t>Estructura General</t>
  </si>
  <si>
    <t>COSTE PRODUCTIVO</t>
  </si>
  <si>
    <t>PRECIO INTRAGRUPO TOTAL</t>
  </si>
  <si>
    <t xml:space="preserve">PRECIO COSTE €/KM </t>
  </si>
  <si>
    <t>NEUMÁTICOS TRACT.(0,0105€/km)</t>
  </si>
  <si>
    <t>NEUMÁTICOS PLAT. (0,0105€/km)</t>
  </si>
  <si>
    <t>margen</t>
  </si>
  <si>
    <t>CAMIONES DE GAS</t>
  </si>
  <si>
    <t>GASOIL (0,8 €/ltr) (31,5 L/100)</t>
  </si>
  <si>
    <t>GAS (0,6 €/KG) (26,40 K/100)</t>
  </si>
  <si>
    <t xml:space="preserve">PARKING </t>
  </si>
  <si>
    <t xml:space="preserve">AUTOPISTA </t>
  </si>
  <si>
    <t>PARKING</t>
  </si>
  <si>
    <t>H2</t>
  </si>
  <si>
    <t>GAS NATURAL</t>
  </si>
  <si>
    <t>€/KM (ENERGIA)</t>
  </si>
  <si>
    <t>PRECIO (€/KG)</t>
  </si>
  <si>
    <t>CONSUMO (KG/KM)</t>
  </si>
  <si>
    <t>COSTE RENTING</t>
  </si>
  <si>
    <t>DIAS MES</t>
  </si>
  <si>
    <t>H2 (2€)</t>
  </si>
  <si>
    <t>H2 (10€)</t>
  </si>
  <si>
    <t>GAS NATURAL  (0,6 €)</t>
  </si>
  <si>
    <t>GASOIL (0,8 €)</t>
  </si>
  <si>
    <t>22 DIAS - 5.000 €</t>
  </si>
  <si>
    <t>H2 (9€)</t>
  </si>
  <si>
    <t>H2 (8€)</t>
  </si>
  <si>
    <t>H2 (7€)</t>
  </si>
  <si>
    <t>H2 (6€)</t>
  </si>
  <si>
    <t>H2 (5€)</t>
  </si>
  <si>
    <t>H2 (4€)</t>
  </si>
  <si>
    <t>H2 (3€)</t>
  </si>
  <si>
    <t>H2 (1€)</t>
  </si>
  <si>
    <t>Calculadora</t>
  </si>
  <si>
    <t>(Modificable)</t>
  </si>
  <si>
    <t>(Vinculado)</t>
  </si>
  <si>
    <t>GASOIL (0,9 €)</t>
  </si>
  <si>
    <t>GASOIL (1 €)</t>
  </si>
  <si>
    <t>100 kms/dia</t>
  </si>
  <si>
    <t>200 kms/dia</t>
  </si>
  <si>
    <t>300 kms/dia</t>
  </si>
  <si>
    <t>400 kms/dia</t>
  </si>
  <si>
    <t>500 kms/dia</t>
  </si>
  <si>
    <t>600 kms/dia</t>
  </si>
  <si>
    <t>700 kms/dia</t>
  </si>
  <si>
    <t>800 kms/dia</t>
  </si>
  <si>
    <t>900 kms/dia</t>
  </si>
  <si>
    <t>1000 kms/dia</t>
  </si>
  <si>
    <t>1100 kms/dia</t>
  </si>
  <si>
    <t>1200 kms/dia</t>
  </si>
  <si>
    <t>1300 kms/dia</t>
  </si>
  <si>
    <t>1400 kms/dia</t>
  </si>
  <si>
    <t>22 D - 5.000 € (G.0,8)</t>
  </si>
  <si>
    <t>22 D - 5.000 € (G.0,9)</t>
  </si>
  <si>
    <t>22 DIAS - 3.500 €</t>
  </si>
  <si>
    <t>22 D - 5.000 € (G.1)</t>
  </si>
  <si>
    <t>22 D - 3.500 € (G.0,8)</t>
  </si>
  <si>
    <t>22 D - 3500 € (G.0,9)</t>
  </si>
  <si>
    <t>22 D - 3.5000 € (G.1)</t>
  </si>
  <si>
    <t>22 DIAS - 2.500 €</t>
  </si>
  <si>
    <t>22 D - 2.500 € (G.0,8)</t>
  </si>
  <si>
    <t>22 D - 2500 € (G.0,9)</t>
  </si>
  <si>
    <t>22 D - 2.500 € (G.1)</t>
  </si>
  <si>
    <t>22 D - 1.500 € (G.1)</t>
  </si>
  <si>
    <t>22 D - 1.500 € (G.0,8)</t>
  </si>
  <si>
    <t>22 D - 1.500 € (G.0,9)</t>
  </si>
  <si>
    <t>22 DIAS - 1.500 €</t>
  </si>
  <si>
    <t>CAMION BIOMETANO</t>
  </si>
  <si>
    <t>BIOMETANO</t>
  </si>
  <si>
    <t>Biometano</t>
  </si>
  <si>
    <t>Cuota PLATAFORMA Enganche</t>
  </si>
  <si>
    <t>CUOTA DOLLY</t>
  </si>
  <si>
    <t>Seguro Dolly</t>
  </si>
  <si>
    <t>Impuesto Dolly</t>
  </si>
  <si>
    <t>Mantenimiento</t>
  </si>
  <si>
    <t>Cuota PLATAFORMA 2</t>
  </si>
  <si>
    <t>Siniestros</t>
  </si>
  <si>
    <t>Teléfono</t>
  </si>
  <si>
    <t>DUO H2</t>
  </si>
  <si>
    <t>Hidrógeno</t>
  </si>
  <si>
    <t>DUO H2 (10€)</t>
  </si>
  <si>
    <t>DUO H2 (9€)</t>
  </si>
  <si>
    <t>DUO H2 (8€)</t>
  </si>
  <si>
    <t>DUO H2 (7€)</t>
  </si>
  <si>
    <t>DUO H2 (6€)</t>
  </si>
  <si>
    <t>DUO H2 (5€)</t>
  </si>
  <si>
    <t>DUO H2 (4€)</t>
  </si>
  <si>
    <t>DUO H2 (3€)</t>
  </si>
  <si>
    <t>DUO H2 (2€)</t>
  </si>
  <si>
    <t>DUO H2 (1€)</t>
  </si>
  <si>
    <t>22 DIAS - 7.000 €</t>
  </si>
  <si>
    <t>22 D - 7.000 € (G.0,8)</t>
  </si>
  <si>
    <t>100 kms/day</t>
  </si>
  <si>
    <t>200 kms/day</t>
  </si>
  <si>
    <t>300 kms/day</t>
  </si>
  <si>
    <t>400 kms/day</t>
  </si>
  <si>
    <t>500 kms/day</t>
  </si>
  <si>
    <t>600 kms/day</t>
  </si>
  <si>
    <t>700 kms/day</t>
  </si>
  <si>
    <t>800 kms/day</t>
  </si>
  <si>
    <t>900 kms/day</t>
  </si>
  <si>
    <t>1000 kms/day</t>
  </si>
  <si>
    <t>1100 kms/day</t>
  </si>
  <si>
    <t>1200 kms/day</t>
  </si>
  <si>
    <t>1300 kms/day</t>
  </si>
  <si>
    <t>1400 kms/day</t>
  </si>
  <si>
    <t>DUO GASOIL</t>
  </si>
  <si>
    <t>GASOIL (0,8 €/L)</t>
  </si>
  <si>
    <t>DUO BIOMETANO</t>
  </si>
  <si>
    <t>ELECTRICO</t>
  </si>
  <si>
    <t>EMISIONES TOTALES</t>
  </si>
  <si>
    <t>EMISIOSES TOTALES EVITADAS</t>
  </si>
  <si>
    <t>Kg CO2</t>
  </si>
  <si>
    <t>Optimización rutas (Kms vacio)</t>
  </si>
  <si>
    <t>Intermodalidad</t>
  </si>
  <si>
    <t>Medidas eficiencia (Reducción consumo)</t>
  </si>
  <si>
    <t>Desarrolllo provedores (Veh Sostenibles)</t>
  </si>
  <si>
    <t>Datos mayo 2021</t>
  </si>
  <si>
    <t>% Evitadas/ Emitidas</t>
  </si>
  <si>
    <t>-</t>
  </si>
  <si>
    <t>1 €</t>
  </si>
  <si>
    <t>2 €</t>
  </si>
  <si>
    <t>3 €</t>
  </si>
  <si>
    <t>4 €</t>
  </si>
  <si>
    <t>5 €</t>
  </si>
  <si>
    <t>6 €</t>
  </si>
  <si>
    <t>7 €</t>
  </si>
  <si>
    <t>8 €</t>
  </si>
  <si>
    <t>9 €</t>
  </si>
  <si>
    <t>10 €</t>
  </si>
  <si>
    <t>GASOIL 1€</t>
  </si>
  <si>
    <t>GASOIL 0,9 €</t>
  </si>
  <si>
    <t>Gasoil 0,8 €</t>
  </si>
  <si>
    <t>Gas Natural</t>
  </si>
  <si>
    <t>Eléctrico</t>
  </si>
  <si>
    <t>H2 (5 €)</t>
  </si>
  <si>
    <t>H2 (4 €)</t>
  </si>
  <si>
    <t>H2 (3 €)</t>
  </si>
  <si>
    <t>H2 (2 €)</t>
  </si>
  <si>
    <t>H2 (1 €)</t>
  </si>
  <si>
    <t>Diesel (0,8 €)</t>
  </si>
  <si>
    <t>BIOMETANO (1,05 €)</t>
  </si>
  <si>
    <t>GNL (0,6 €)</t>
  </si>
  <si>
    <t>ELÉCTRICO (0,14 € KWH)</t>
  </si>
  <si>
    <t xml:space="preserve">SIN SUBVENCIÓN </t>
  </si>
  <si>
    <t>SIN SUBVENCIÓN</t>
  </si>
  <si>
    <t>GNL /BIO CON SUBV</t>
  </si>
  <si>
    <t>200 KMS/DIA</t>
  </si>
  <si>
    <t>100 KMS/DIA</t>
  </si>
  <si>
    <t>300 KMS/DIA</t>
  </si>
  <si>
    <t>400 KMS/DIA</t>
  </si>
  <si>
    <t>500 KMS/DIA</t>
  </si>
  <si>
    <t>600 KMS/DIA</t>
  </si>
  <si>
    <t>700 KMS/DIA</t>
  </si>
  <si>
    <t>800 KMS/DIA</t>
  </si>
  <si>
    <t>900 KMS/DIA</t>
  </si>
  <si>
    <t>1000 KMS/DIA</t>
  </si>
  <si>
    <t>1100 KMS/DIA</t>
  </si>
  <si>
    <t>1200 KMS/DIA</t>
  </si>
  <si>
    <t>1300 KMS/DIA</t>
  </si>
  <si>
    <t>1400 KMS/DIA</t>
  </si>
  <si>
    <t>€kg H2</t>
  </si>
  <si>
    <t>TABLAS NO DINÁMICAS</t>
  </si>
  <si>
    <t>HVO</t>
  </si>
  <si>
    <t>DUO HVO</t>
  </si>
  <si>
    <t>€/KM (ud. TRAILER)</t>
  </si>
  <si>
    <t>% HVO</t>
  </si>
  <si>
    <t>% Biometano</t>
  </si>
  <si>
    <t xml:space="preserve"> KG C02/KM</t>
  </si>
  <si>
    <t>FE DIESEL</t>
  </si>
  <si>
    <t>FE LNG</t>
  </si>
  <si>
    <t>% REDUCCIÓN BIO</t>
  </si>
  <si>
    <t>% REDUCCION HVO</t>
  </si>
  <si>
    <t>KMS / % HVO</t>
  </si>
  <si>
    <t>KMS / % BIO</t>
  </si>
  <si>
    <t>EXTRA COSTE</t>
  </si>
  <si>
    <t xml:space="preserve"> DUO DIESEL</t>
  </si>
  <si>
    <t>DUO GNL</t>
  </si>
  <si>
    <t>SIMPLE  GNL</t>
  </si>
  <si>
    <t>SIMPLE  H2 / 4 €</t>
  </si>
  <si>
    <t xml:space="preserve"> DUO H2 / 4 €</t>
  </si>
  <si>
    <t>KMS / % VERDE</t>
  </si>
  <si>
    <t>% H2 VERDE</t>
  </si>
  <si>
    <t>PRECIO H2</t>
  </si>
  <si>
    <t>DIESEL</t>
  </si>
  <si>
    <t>DUO ELECTRICO</t>
  </si>
  <si>
    <t>VEH/KMS</t>
  </si>
  <si>
    <t>SECTOR</t>
  </si>
  <si>
    <t>100 KMS</t>
  </si>
  <si>
    <t>200 KMS</t>
  </si>
  <si>
    <t>300 KMS</t>
  </si>
  <si>
    <t>400 KMS</t>
  </si>
  <si>
    <t>500 KMS</t>
  </si>
  <si>
    <t>600 KMS</t>
  </si>
  <si>
    <t>700 KMS</t>
  </si>
  <si>
    <t>KMS</t>
  </si>
  <si>
    <t>COSTE DUO HVO</t>
  </si>
  <si>
    <t>TARIFA NORMAL</t>
  </si>
  <si>
    <t>EXTRACOSTE</t>
  </si>
  <si>
    <t>COSTE DUO DIESEL</t>
  </si>
  <si>
    <t>OPERATIVA CORREDOR</t>
  </si>
  <si>
    <t>COSTE ACARREO +YARD</t>
  </si>
  <si>
    <t>COSTE ACARREO+YARD</t>
  </si>
  <si>
    <t>COSTE DUO H2</t>
  </si>
  <si>
    <t>RUTA A</t>
  </si>
  <si>
    <t>COSTE DUO+ ACARREO</t>
  </si>
  <si>
    <t>Nº ACARREOS VIAJE</t>
  </si>
  <si>
    <t>FACTOR CORRECTOR TARIFA</t>
  </si>
  <si>
    <t>KMS CORREDOR DUO</t>
  </si>
  <si>
    <t>KMS VEHICULO /DIA</t>
  </si>
  <si>
    <t>COSTE TRANSPORTE PLAZA</t>
  </si>
  <si>
    <t>Nº DESCARGAS PLAZA</t>
  </si>
  <si>
    <t>Falta aplicar el margen</t>
  </si>
  <si>
    <t xml:space="preserve">GASOIL </t>
  </si>
  <si>
    <t>COSTES FIJOS</t>
  </si>
  <si>
    <t>COSTES VARIABLES</t>
  </si>
  <si>
    <t>100</t>
  </si>
  <si>
    <t>200</t>
  </si>
  <si>
    <t>300</t>
  </si>
  <si>
    <t>400</t>
  </si>
  <si>
    <t>500</t>
  </si>
  <si>
    <t>600</t>
  </si>
  <si>
    <t>700</t>
  </si>
  <si>
    <t>900</t>
  </si>
  <si>
    <t>1000</t>
  </si>
  <si>
    <t>1100</t>
  </si>
  <si>
    <t>1200</t>
  </si>
  <si>
    <t>Se aplica corrector al coste dia simple Se considera que el duotrailer puede tener más productividad en corredor, No así el simple.</t>
  </si>
  <si>
    <t>ELÉCTRICO</t>
  </si>
  <si>
    <t>800</t>
  </si>
  <si>
    <t xml:space="preserve">Extracoste </t>
  </si>
  <si>
    <t>%  - CO2</t>
  </si>
  <si>
    <t>DIFERENCIA</t>
  </si>
  <si>
    <t xml:space="preserve">º </t>
  </si>
  <si>
    <t>COSTE EMISIÓN CO2</t>
  </si>
  <si>
    <t>Conductores *</t>
  </si>
  <si>
    <t>Consumo KWH /100 km</t>
  </si>
  <si>
    <t>Consumo HVO / 100 km</t>
  </si>
  <si>
    <t>Consumo BioGNC / 100 km</t>
  </si>
  <si>
    <t>Consumo H2/100 km</t>
  </si>
  <si>
    <t>Consumo GNL/100 km</t>
  </si>
  <si>
    <t>Consumo Diesel /100 km</t>
  </si>
  <si>
    <t>PRECIO SEMIRREMOLQUE</t>
  </si>
  <si>
    <t>Trailer</t>
  </si>
  <si>
    <t>Dolly</t>
  </si>
  <si>
    <t>Verde</t>
  </si>
  <si>
    <t>Gris</t>
  </si>
  <si>
    <t>TIPO H2</t>
  </si>
  <si>
    <t>&gt; 700 kms ---&gt; 2 Cond</t>
  </si>
  <si>
    <t>Tipo de trailer</t>
  </si>
  <si>
    <t>&lt; --Solo tabla roja</t>
  </si>
  <si>
    <t>KMS AUTOPISTA</t>
  </si>
  <si>
    <t>PRECIO AUTOPISTA</t>
  </si>
  <si>
    <t>SALARIO CONDUCTOR (Tabla R)</t>
  </si>
  <si>
    <t>% Ahorro consumo  Duo</t>
  </si>
  <si>
    <t>SIMPLE</t>
  </si>
  <si>
    <t>DUO</t>
  </si>
  <si>
    <t>VEHICULO</t>
  </si>
  <si>
    <t>TARIFA</t>
  </si>
  <si>
    <t>MARGEN</t>
  </si>
  <si>
    <t xml:space="preserve">TOTAL </t>
  </si>
  <si>
    <t>€/DIA (trailer)</t>
  </si>
  <si>
    <t>EXTRA CONDUCTOR</t>
  </si>
  <si>
    <t>(Vehículo especial)</t>
  </si>
  <si>
    <t xml:space="preserve">GAS </t>
  </si>
  <si>
    <t xml:space="preserve">H2 </t>
  </si>
  <si>
    <t>vs DUO D</t>
  </si>
  <si>
    <t>PRECIO t CO2</t>
  </si>
  <si>
    <t>COSTE SIMPLE</t>
  </si>
  <si>
    <t>DUO VS SIMPLE</t>
  </si>
  <si>
    <t xml:space="preserve">COSTE TRAILER YARD/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</si>
</sst>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0.0"/>
    <numFmt numFmtId="166" formatCode="#,##0.00\ &quot;€&quot;"/>
    <numFmt numFmtId="167" formatCode="#,##0.000\ &quot;€&quot;"/>
    <numFmt numFmtId="168" formatCode="0.0000"/>
    <numFmt numFmtId="169" formatCode="0.000"/>
    <numFmt numFmtId="170" formatCode="#,##0.0000\ &quot;€&quot;"/>
    <numFmt numFmtId="171" formatCode="_-* #,##0.0\ _€_-;\-* #,##0.0\ _€_-;_-* &quot;-&quot;??\ _€_-;_-@_-"/>
    <numFmt numFmtId="172" formatCode="_-* #,##0\ _€_-;\-* #,##0\ _€_-;_-* &quot;-&quot;?\ _€_-;_-@_-"/>
    <numFmt numFmtId="173" formatCode="_-* #,##0.0\ &quot;€&quot;_-;\-* #,##0.0\ &quot;€&quot;_-;_-* &quot;-&quot;??\ &quot;€&quot;_-;_-@_-"/>
    <numFmt numFmtId="174" formatCode="_-* #,##0\ &quot;€&quot;_-;\-* #,##0\ &quot;€&quot;_-;_-* &quot;-&quot;??\ &quot;€&quot;_-;_-@_-"/>
    <numFmt numFmtId="175" formatCode="_-* #,##0.0\ &quot;€&quot;_-;\-* #,##0.0\ &quot;€&quot;_-;_-* &quot;-&quot;?\ &quot;€&quot;_-;_-@_-"/>
    <numFmt numFmtId="176" formatCode="_-* #,##0\ _€_-;\-* #,##0\ _€_-;_-* &quot;-&quot;??\ _€_-;_-@_-"/>
    <numFmt numFmtId="177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FFC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8FDB3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</borders>
  <cellStyleXfs count="1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6" fillId="0" borderId="0"/>
    <xf numFmtId="0" fontId="6" fillId="0" borderId="0"/>
    <xf numFmtId="0" fontId="7" fillId="7" borderId="0" applyNumberFormat="0" applyBorder="0" applyAlignment="0" applyProtection="0"/>
    <xf numFmtId="0" fontId="8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44" fontId="1" fillId="0" borderId="0" applyFont="0" applyFill="0" applyBorder="0" applyAlignment="0" applyProtection="0"/>
    <xf numFmtId="0" fontId="1" fillId="18" borderId="0" applyNumberFormat="0" applyBorder="0" applyAlignment="0" applyProtection="0"/>
    <xf numFmtId="0" fontId="1" fillId="24" borderId="0" applyNumberFormat="0" applyBorder="0" applyAlignment="0" applyProtection="0"/>
    <xf numFmtId="0" fontId="14" fillId="25" borderId="0" applyNumberFormat="0" applyBorder="0" applyAlignment="0" applyProtection="0"/>
  </cellStyleXfs>
  <cellXfs count="19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2" fontId="2" fillId="0" borderId="0" xfId="1" applyNumberFormat="1" applyFont="1" applyFill="1" applyAlignment="1">
      <alignment horizontal="center"/>
    </xf>
    <xf numFmtId="17" fontId="0" fillId="0" borderId="0" xfId="0" applyNumberFormat="1"/>
    <xf numFmtId="0" fontId="0" fillId="2" borderId="1" xfId="0" applyFill="1" applyBorder="1"/>
    <xf numFmtId="2" fontId="0" fillId="2" borderId="1" xfId="1" applyNumberFormat="1" applyFont="1" applyFill="1" applyBorder="1" applyAlignment="1">
      <alignment horizontal="center"/>
    </xf>
    <xf numFmtId="0" fontId="0" fillId="3" borderId="1" xfId="0" applyFill="1" applyBorder="1"/>
    <xf numFmtId="2" fontId="0" fillId="3" borderId="1" xfId="1" applyNumberFormat="1" applyFont="1" applyFill="1" applyBorder="1" applyAlignment="1">
      <alignment horizontal="center"/>
    </xf>
    <xf numFmtId="165" fontId="0" fillId="3" borderId="1" xfId="0" applyNumberFormat="1" applyFill="1" applyBorder="1"/>
    <xf numFmtId="166" fontId="0" fillId="3" borderId="1" xfId="2" applyNumberFormat="1" applyFont="1" applyFill="1" applyBorder="1" applyAlignment="1">
      <alignment horizontal="center"/>
    </xf>
    <xf numFmtId="166" fontId="0" fillId="4" borderId="1" xfId="2" applyNumberFormat="1" applyFont="1" applyFill="1" applyBorder="1" applyAlignment="1">
      <alignment horizontal="center"/>
    </xf>
    <xf numFmtId="165" fontId="0" fillId="2" borderId="1" xfId="0" applyNumberFormat="1" applyFill="1" applyBorder="1"/>
    <xf numFmtId="0" fontId="0" fillId="5" borderId="1" xfId="0" applyFill="1" applyBorder="1"/>
    <xf numFmtId="166" fontId="0" fillId="6" borderId="1" xfId="2" applyNumberFormat="1" applyFont="1" applyFill="1" applyBorder="1" applyAlignment="1">
      <alignment horizontal="center"/>
    </xf>
    <xf numFmtId="167" fontId="0" fillId="6" borderId="1" xfId="2" applyNumberFormat="1" applyFont="1" applyFill="1" applyBorder="1" applyAlignment="1">
      <alignment horizontal="center"/>
    </xf>
    <xf numFmtId="166" fontId="3" fillId="3" borderId="1" xfId="2" applyNumberFormat="1" applyFont="1" applyFill="1" applyBorder="1" applyAlignment="1">
      <alignment horizontal="center"/>
    </xf>
    <xf numFmtId="166" fontId="3" fillId="2" borderId="1" xfId="2" applyNumberFormat="1" applyFont="1" applyFill="1" applyBorder="1" applyAlignment="1">
      <alignment horizontal="center"/>
    </xf>
    <xf numFmtId="165" fontId="0" fillId="5" borderId="1" xfId="0" applyNumberFormat="1" applyFill="1" applyBorder="1"/>
    <xf numFmtId="0" fontId="0" fillId="2" borderId="0" xfId="0" applyFill="1"/>
    <xf numFmtId="2" fontId="3" fillId="2" borderId="0" xfId="1" applyNumberFormat="1" applyFont="1" applyFill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165" fontId="2" fillId="3" borderId="4" xfId="0" applyNumberFormat="1" applyFont="1" applyFill="1" applyBorder="1"/>
    <xf numFmtId="166" fontId="3" fillId="2" borderId="0" xfId="2" applyNumberFormat="1" applyFont="1" applyFill="1" applyAlignment="1">
      <alignment horizontal="center"/>
    </xf>
    <xf numFmtId="166" fontId="0" fillId="2" borderId="1" xfId="2" applyNumberFormat="1" applyFont="1" applyFill="1" applyBorder="1" applyAlignment="1">
      <alignment horizontal="center"/>
    </xf>
    <xf numFmtId="165" fontId="2" fillId="3" borderId="1" xfId="0" applyNumberFormat="1" applyFont="1" applyFill="1" applyBorder="1"/>
    <xf numFmtId="9" fontId="2" fillId="3" borderId="1" xfId="2" applyFont="1" applyFill="1" applyBorder="1" applyAlignment="1">
      <alignment horizontal="center"/>
    </xf>
    <xf numFmtId="0" fontId="0" fillId="2" borderId="5" xfId="0" applyFill="1" applyBorder="1"/>
    <xf numFmtId="168" fontId="0" fillId="2" borderId="5" xfId="0" applyNumberFormat="1" applyFill="1" applyBorder="1"/>
    <xf numFmtId="166" fontId="0" fillId="2" borderId="5" xfId="1" applyNumberFormat="1" applyFont="1" applyFill="1" applyBorder="1" applyAlignment="1">
      <alignment horizontal="center"/>
    </xf>
    <xf numFmtId="0" fontId="2" fillId="3" borderId="6" xfId="0" applyFont="1" applyFill="1" applyBorder="1"/>
    <xf numFmtId="169" fontId="2" fillId="3" borderId="4" xfId="0" applyNumberFormat="1" applyFont="1" applyFill="1" applyBorder="1" applyAlignment="1">
      <alignment horizontal="center"/>
    </xf>
    <xf numFmtId="166" fontId="2" fillId="3" borderId="4" xfId="1" applyNumberFormat="1" applyFont="1" applyFill="1" applyBorder="1" applyAlignment="1">
      <alignment horizontal="center"/>
    </xf>
    <xf numFmtId="9" fontId="2" fillId="0" borderId="0" xfId="2" applyFont="1" applyFill="1" applyAlignment="1">
      <alignment horizontal="center"/>
    </xf>
    <xf numFmtId="9" fontId="0" fillId="2" borderId="1" xfId="2" applyFont="1" applyFill="1" applyBorder="1" applyAlignment="1">
      <alignment horizontal="center"/>
    </xf>
    <xf numFmtId="9" fontId="0" fillId="3" borderId="1" xfId="2" applyFont="1" applyFill="1" applyBorder="1" applyAlignment="1">
      <alignment horizontal="center"/>
    </xf>
    <xf numFmtId="9" fontId="3" fillId="2" borderId="1" xfId="2" applyFont="1" applyFill="1" applyBorder="1" applyAlignment="1">
      <alignment horizontal="center"/>
    </xf>
    <xf numFmtId="9" fontId="3" fillId="3" borderId="1" xfId="2" applyFont="1" applyFill="1" applyBorder="1" applyAlignment="1">
      <alignment horizontal="center"/>
    </xf>
    <xf numFmtId="9" fontId="3" fillId="2" borderId="0" xfId="2" applyFont="1" applyFill="1" applyAlignment="1">
      <alignment horizontal="center"/>
    </xf>
    <xf numFmtId="9" fontId="4" fillId="3" borderId="4" xfId="2" applyFont="1" applyFill="1" applyBorder="1" applyAlignment="1">
      <alignment horizontal="center"/>
    </xf>
    <xf numFmtId="9" fontId="0" fillId="2" borderId="5" xfId="2" applyFont="1" applyFill="1" applyBorder="1" applyAlignment="1">
      <alignment horizontal="center"/>
    </xf>
    <xf numFmtId="9" fontId="2" fillId="3" borderId="4" xfId="2" applyFont="1" applyFill="1" applyBorder="1" applyAlignment="1">
      <alignment horizontal="center"/>
    </xf>
    <xf numFmtId="169" fontId="0" fillId="5" borderId="1" xfId="0" applyNumberFormat="1" applyFill="1" applyBorder="1"/>
    <xf numFmtId="17" fontId="2" fillId="0" borderId="0" xfId="0" applyNumberFormat="1" applyFont="1" applyAlignment="1">
      <alignment horizontal="center"/>
    </xf>
    <xf numFmtId="9" fontId="0" fillId="2" borderId="1" xfId="0" applyNumberFormat="1" applyFill="1" applyBorder="1"/>
    <xf numFmtId="170" fontId="4" fillId="3" borderId="4" xfId="2" applyNumberFormat="1" applyFont="1" applyFill="1" applyBorder="1" applyAlignment="1">
      <alignment horizontal="center"/>
    </xf>
    <xf numFmtId="170" fontId="2" fillId="3" borderId="1" xfId="2" applyNumberFormat="1" applyFont="1" applyFill="1" applyBorder="1" applyAlignment="1">
      <alignment horizontal="center"/>
    </xf>
    <xf numFmtId="165" fontId="0" fillId="0" borderId="0" xfId="0" applyNumberFormat="1"/>
    <xf numFmtId="14" fontId="0" fillId="0" borderId="0" xfId="0" applyNumberFormat="1" applyAlignment="1">
      <alignment horizontal="center"/>
    </xf>
    <xf numFmtId="165" fontId="2" fillId="0" borderId="0" xfId="0" applyNumberFormat="1" applyFont="1"/>
    <xf numFmtId="171" fontId="2" fillId="0" borderId="0" xfId="1" applyNumberFormat="1" applyFont="1" applyAlignment="1">
      <alignment horizontal="center" vertical="center"/>
    </xf>
    <xf numFmtId="9" fontId="0" fillId="0" borderId="0" xfId="2" applyFont="1"/>
    <xf numFmtId="169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172" fontId="0" fillId="3" borderId="1" xfId="0" applyNumberFormat="1" applyFill="1" applyBorder="1"/>
    <xf numFmtId="0" fontId="9" fillId="11" borderId="0" xfId="0" applyFont="1" applyFill="1"/>
    <xf numFmtId="0" fontId="10" fillId="1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4" borderId="0" xfId="0" applyFont="1" applyFill="1" applyAlignment="1">
      <alignment horizontal="center"/>
    </xf>
    <xf numFmtId="0" fontId="12" fillId="12" borderId="0" xfId="0" applyFont="1" applyFill="1" applyAlignment="1">
      <alignment horizontal="center"/>
    </xf>
    <xf numFmtId="165" fontId="12" fillId="12" borderId="0" xfId="0" applyNumberFormat="1" applyFont="1" applyFill="1" applyAlignment="1">
      <alignment horizontal="center"/>
    </xf>
    <xf numFmtId="9" fontId="0" fillId="0" borderId="0" xfId="0" applyNumberFormat="1"/>
    <xf numFmtId="0" fontId="7" fillId="7" borderId="0" xfId="8" applyAlignment="1">
      <alignment horizontal="center"/>
    </xf>
    <xf numFmtId="0" fontId="1" fillId="10" borderId="0" xfId="11" applyAlignment="1">
      <alignment horizontal="center"/>
    </xf>
    <xf numFmtId="0" fontId="1" fillId="9" borderId="0" xfId="10" applyAlignment="1">
      <alignment horizontal="center"/>
    </xf>
    <xf numFmtId="0" fontId="0" fillId="13" borderId="0" xfId="0" applyFill="1"/>
    <xf numFmtId="0" fontId="0" fillId="14" borderId="0" xfId="0" applyFill="1"/>
    <xf numFmtId="0" fontId="1" fillId="10" borderId="0" xfId="11" applyAlignment="1">
      <alignment horizontal="left"/>
    </xf>
    <xf numFmtId="9" fontId="12" fillId="12" borderId="0" xfId="2" applyFont="1" applyFill="1" applyAlignment="1">
      <alignment horizontal="center"/>
    </xf>
    <xf numFmtId="9" fontId="7" fillId="7" borderId="0" xfId="2" applyFont="1" applyFill="1" applyAlignment="1">
      <alignment horizontal="center"/>
    </xf>
    <xf numFmtId="9" fontId="1" fillId="10" borderId="0" xfId="2" applyFill="1" applyAlignment="1">
      <alignment horizontal="center"/>
    </xf>
    <xf numFmtId="9" fontId="0" fillId="14" borderId="0" xfId="2" applyFont="1" applyFill="1" applyAlignment="1">
      <alignment horizontal="center"/>
    </xf>
    <xf numFmtId="0" fontId="0" fillId="13" borderId="7" xfId="0" applyFill="1" applyBorder="1"/>
    <xf numFmtId="9" fontId="12" fillId="12" borderId="8" xfId="2" applyFont="1" applyFill="1" applyBorder="1" applyAlignment="1">
      <alignment horizontal="center"/>
    </xf>
    <xf numFmtId="9" fontId="7" fillId="7" borderId="8" xfId="2" applyFont="1" applyFill="1" applyBorder="1" applyAlignment="1">
      <alignment horizontal="center"/>
    </xf>
    <xf numFmtId="9" fontId="0" fillId="10" borderId="8" xfId="2" applyFont="1" applyFill="1" applyBorder="1" applyAlignment="1">
      <alignment horizontal="center"/>
    </xf>
    <xf numFmtId="9" fontId="0" fillId="14" borderId="0" xfId="2" applyFont="1" applyFill="1" applyAlignment="1">
      <alignment horizontal="left"/>
    </xf>
    <xf numFmtId="0" fontId="8" fillId="8" borderId="0" xfId="9" applyAlignment="1">
      <alignment horizontal="center"/>
    </xf>
    <xf numFmtId="9" fontId="8" fillId="8" borderId="0" xfId="2" applyFont="1" applyFill="1" applyAlignment="1">
      <alignment horizontal="center"/>
    </xf>
    <xf numFmtId="9" fontId="7" fillId="15" borderId="8" xfId="2" applyFont="1" applyFill="1" applyBorder="1" applyAlignment="1">
      <alignment horizontal="center"/>
    </xf>
    <xf numFmtId="9" fontId="7" fillId="15" borderId="0" xfId="2" applyFont="1" applyFill="1" applyAlignment="1">
      <alignment horizontal="center"/>
    </xf>
    <xf numFmtId="0" fontId="7" fillId="15" borderId="0" xfId="8" applyFill="1" applyAlignment="1">
      <alignment horizontal="center"/>
    </xf>
    <xf numFmtId="0" fontId="9" fillId="16" borderId="7" xfId="0" applyFont="1" applyFill="1" applyBorder="1"/>
    <xf numFmtId="0" fontId="0" fillId="17" borderId="7" xfId="0" applyFill="1" applyBorder="1"/>
    <xf numFmtId="0" fontId="0" fillId="13" borderId="10" xfId="0" applyFill="1" applyBorder="1"/>
    <xf numFmtId="2" fontId="0" fillId="0" borderId="0" xfId="0" applyNumberFormat="1" applyAlignment="1">
      <alignment horizontal="center"/>
    </xf>
    <xf numFmtId="17" fontId="2" fillId="0" borderId="0" xfId="0" applyNumberFormat="1" applyFont="1"/>
    <xf numFmtId="0" fontId="9" fillId="16" borderId="8" xfId="0" applyFont="1" applyFill="1" applyBorder="1" applyAlignment="1">
      <alignment horizontal="center"/>
    </xf>
    <xf numFmtId="0" fontId="9" fillId="16" borderId="9" xfId="0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165" fontId="12" fillId="12" borderId="8" xfId="0" applyNumberFormat="1" applyFont="1" applyFill="1" applyBorder="1" applyAlignment="1">
      <alignment horizontal="center"/>
    </xf>
    <xf numFmtId="0" fontId="12" fillId="12" borderId="9" xfId="0" applyFont="1" applyFill="1" applyBorder="1" applyAlignment="1">
      <alignment horizontal="center"/>
    </xf>
    <xf numFmtId="0" fontId="7" fillId="7" borderId="8" xfId="8" applyBorder="1" applyAlignment="1">
      <alignment horizontal="center"/>
    </xf>
    <xf numFmtId="0" fontId="0" fillId="10" borderId="7" xfId="11" applyFont="1" applyBorder="1" applyAlignment="1">
      <alignment horizontal="left"/>
    </xf>
    <xf numFmtId="0" fontId="0" fillId="10" borderId="8" xfId="11" applyFont="1" applyBorder="1" applyAlignment="1">
      <alignment horizontal="center"/>
    </xf>
    <xf numFmtId="0" fontId="0" fillId="10" borderId="9" xfId="11" applyFont="1" applyBorder="1" applyAlignment="1">
      <alignment horizontal="center"/>
    </xf>
    <xf numFmtId="0" fontId="0" fillId="14" borderId="7" xfId="0" applyFill="1" applyBorder="1"/>
    <xf numFmtId="0" fontId="0" fillId="9" borderId="8" xfId="10" applyFont="1" applyBorder="1" applyAlignment="1">
      <alignment horizontal="center"/>
    </xf>
    <xf numFmtId="0" fontId="0" fillId="9" borderId="9" xfId="10" applyFont="1" applyBorder="1" applyAlignment="1">
      <alignment horizontal="center"/>
    </xf>
    <xf numFmtId="0" fontId="8" fillId="8" borderId="8" xfId="9" applyBorder="1" applyAlignment="1">
      <alignment horizontal="center"/>
    </xf>
    <xf numFmtId="2" fontId="12" fillId="12" borderId="8" xfId="0" applyNumberFormat="1" applyFont="1" applyFill="1" applyBorder="1" applyAlignment="1">
      <alignment horizontal="center"/>
    </xf>
    <xf numFmtId="44" fontId="0" fillId="0" borderId="0" xfId="12" applyFont="1"/>
    <xf numFmtId="0" fontId="0" fillId="0" borderId="0" xfId="0" applyAlignment="1">
      <alignment horizontal="left"/>
    </xf>
    <xf numFmtId="0" fontId="1" fillId="18" borderId="7" xfId="13" applyBorder="1" applyAlignment="1">
      <alignment horizontal="center"/>
    </xf>
    <xf numFmtId="0" fontId="1" fillId="18" borderId="10" xfId="13" applyBorder="1" applyAlignment="1">
      <alignment horizontal="center"/>
    </xf>
    <xf numFmtId="9" fontId="1" fillId="18" borderId="10" xfId="2" applyFill="1" applyBorder="1" applyAlignment="1">
      <alignment horizontal="center"/>
    </xf>
    <xf numFmtId="174" fontId="0" fillId="0" borderId="0" xfId="12" applyNumberFormat="1" applyFont="1"/>
    <xf numFmtId="173" fontId="0" fillId="0" borderId="0" xfId="0" applyNumberFormat="1"/>
    <xf numFmtId="175" fontId="0" fillId="0" borderId="0" xfId="0" applyNumberFormat="1"/>
    <xf numFmtId="1" fontId="0" fillId="2" borderId="1" xfId="0" applyNumberFormat="1" applyFill="1" applyBorder="1"/>
    <xf numFmtId="0" fontId="1" fillId="24" borderId="0" xfId="14"/>
    <xf numFmtId="176" fontId="1" fillId="24" borderId="0" xfId="14" applyNumberFormat="1"/>
    <xf numFmtId="0" fontId="14" fillId="25" borderId="0" xfId="15"/>
    <xf numFmtId="176" fontId="14" fillId="25" borderId="0" xfId="15" applyNumberFormat="1"/>
    <xf numFmtId="177" fontId="14" fillId="25" borderId="0" xfId="15" applyNumberFormat="1"/>
    <xf numFmtId="176" fontId="7" fillId="7" borderId="0" xfId="8" applyNumberFormat="1"/>
    <xf numFmtId="177" fontId="7" fillId="7" borderId="0" xfId="8" applyNumberFormat="1"/>
    <xf numFmtId="0" fontId="7" fillId="7" borderId="0" xfId="8" applyAlignment="1">
      <alignment horizontal="left" indent="3"/>
    </xf>
    <xf numFmtId="177" fontId="0" fillId="0" borderId="0" xfId="2" applyNumberFormat="1" applyFont="1"/>
    <xf numFmtId="0" fontId="2" fillId="19" borderId="10" xfId="0" applyFont="1" applyFill="1" applyBorder="1"/>
    <xf numFmtId="0" fontId="11" fillId="23" borderId="11" xfId="0" applyFont="1" applyFill="1" applyBorder="1" applyAlignment="1">
      <alignment horizontal="center"/>
    </xf>
    <xf numFmtId="2" fontId="10" fillId="23" borderId="11" xfId="0" applyNumberFormat="1" applyFont="1" applyFill="1" applyBorder="1" applyAlignment="1">
      <alignment horizontal="center"/>
    </xf>
    <xf numFmtId="1" fontId="11" fillId="23" borderId="11" xfId="0" applyNumberFormat="1" applyFont="1" applyFill="1" applyBorder="1" applyAlignment="1">
      <alignment horizontal="center"/>
    </xf>
    <xf numFmtId="9" fontId="10" fillId="19" borderId="11" xfId="2" applyFont="1" applyFill="1" applyBorder="1" applyAlignment="1">
      <alignment horizontal="center"/>
    </xf>
    <xf numFmtId="0" fontId="2" fillId="21" borderId="10" xfId="0" applyFont="1" applyFill="1" applyBorder="1"/>
    <xf numFmtId="0" fontId="2" fillId="14" borderId="10" xfId="0" applyFont="1" applyFill="1" applyBorder="1"/>
    <xf numFmtId="0" fontId="2" fillId="20" borderId="10" xfId="0" applyFont="1" applyFill="1" applyBorder="1"/>
    <xf numFmtId="0" fontId="2" fillId="22" borderId="10" xfId="0" applyFont="1" applyFill="1" applyBorder="1"/>
    <xf numFmtId="0" fontId="2" fillId="13" borderId="10" xfId="0" applyFont="1" applyFill="1" applyBorder="1"/>
    <xf numFmtId="0" fontId="2" fillId="20" borderId="7" xfId="0" applyFont="1" applyFill="1" applyBorder="1"/>
    <xf numFmtId="2" fontId="10" fillId="23" borderId="8" xfId="0" applyNumberFormat="1" applyFont="1" applyFill="1" applyBorder="1" applyAlignment="1">
      <alignment horizontal="center"/>
    </xf>
    <xf numFmtId="44" fontId="0" fillId="0" borderId="0" xfId="12" applyFont="1" applyAlignment="1">
      <alignment horizontal="left"/>
    </xf>
    <xf numFmtId="9" fontId="0" fillId="0" borderId="0" xfId="2" applyFont="1" applyAlignment="1">
      <alignment horizontal="center"/>
    </xf>
    <xf numFmtId="1" fontId="10" fillId="23" borderId="8" xfId="0" applyNumberFormat="1" applyFont="1" applyFill="1" applyBorder="1" applyAlignment="1">
      <alignment horizontal="center"/>
    </xf>
    <xf numFmtId="6" fontId="14" fillId="0" borderId="0" xfId="0" applyNumberFormat="1" applyFont="1" applyAlignment="1">
      <alignment horizontal="center"/>
    </xf>
    <xf numFmtId="0" fontId="2" fillId="26" borderId="10" xfId="0" applyFont="1" applyFill="1" applyBorder="1"/>
    <xf numFmtId="0" fontId="2" fillId="12" borderId="10" xfId="0" applyFont="1" applyFill="1" applyBorder="1"/>
    <xf numFmtId="0" fontId="15" fillId="0" borderId="0" xfId="0" applyFont="1" applyAlignment="1">
      <alignment horizontal="center"/>
    </xf>
    <xf numFmtId="0" fontId="9" fillId="16" borderId="11" xfId="0" applyFont="1" applyFill="1" applyBorder="1" applyAlignment="1">
      <alignment horizontal="center"/>
    </xf>
    <xf numFmtId="44" fontId="0" fillId="0" borderId="0" xfId="12" applyFont="1" applyAlignment="1">
      <alignment horizontal="center"/>
    </xf>
    <xf numFmtId="0" fontId="9" fillId="16" borderId="0" xfId="0" applyFont="1" applyFill="1"/>
    <xf numFmtId="2" fontId="11" fillId="4" borderId="0" xfId="0" applyNumberFormat="1" applyFont="1" applyFill="1" applyAlignment="1">
      <alignment horizontal="center"/>
    </xf>
    <xf numFmtId="9" fontId="0" fillId="20" borderId="0" xfId="2" applyFont="1" applyFill="1" applyAlignment="1">
      <alignment horizontal="center"/>
    </xf>
    <xf numFmtId="2" fontId="11" fillId="23" borderId="11" xfId="0" applyNumberFormat="1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0" fontId="9" fillId="16" borderId="0" xfId="0" applyFont="1" applyFill="1" applyAlignment="1">
      <alignment horizontal="center"/>
    </xf>
    <xf numFmtId="9" fontId="11" fillId="4" borderId="0" xfId="2" applyFont="1" applyFill="1" applyAlignment="1">
      <alignment horizontal="center"/>
    </xf>
    <xf numFmtId="9" fontId="16" fillId="4" borderId="0" xfId="2" applyFont="1" applyFill="1" applyAlignment="1">
      <alignment horizontal="center"/>
    </xf>
    <xf numFmtId="0" fontId="9" fillId="11" borderId="0" xfId="0" applyFont="1" applyFill="1" applyAlignment="1">
      <alignment horizontal="left"/>
    </xf>
    <xf numFmtId="9" fontId="15" fillId="4" borderId="0" xfId="2" applyFont="1" applyFill="1" applyAlignment="1">
      <alignment horizontal="center"/>
    </xf>
    <xf numFmtId="9" fontId="17" fillId="4" borderId="0" xfId="2" applyFont="1" applyFill="1" applyAlignment="1">
      <alignment horizontal="center"/>
    </xf>
    <xf numFmtId="9" fontId="16" fillId="6" borderId="0" xfId="2" applyFont="1" applyFill="1" applyAlignment="1">
      <alignment horizontal="center"/>
    </xf>
    <xf numFmtId="9" fontId="11" fillId="6" borderId="0" xfId="2" applyFont="1" applyFill="1" applyAlignment="1">
      <alignment horizontal="center"/>
    </xf>
    <xf numFmtId="9" fontId="17" fillId="6" borderId="0" xfId="2" applyFont="1" applyFill="1" applyAlignment="1">
      <alignment horizontal="center"/>
    </xf>
    <xf numFmtId="6" fontId="0" fillId="0" borderId="0" xfId="0" applyNumberFormat="1"/>
    <xf numFmtId="8" fontId="0" fillId="0" borderId="0" xfId="0" applyNumberFormat="1"/>
    <xf numFmtId="9" fontId="0" fillId="0" borderId="0" xfId="0" applyNumberFormat="1" applyAlignment="1">
      <alignment horizontal="center"/>
    </xf>
    <xf numFmtId="1" fontId="0" fillId="0" borderId="0" xfId="0" applyNumberFormat="1"/>
    <xf numFmtId="176" fontId="0" fillId="0" borderId="0" xfId="1" applyNumberFormat="1" applyFont="1"/>
    <xf numFmtId="10" fontId="0" fillId="0" borderId="0" xfId="0" applyNumberFormat="1"/>
    <xf numFmtId="176" fontId="0" fillId="0" borderId="0" xfId="0" applyNumberFormat="1"/>
    <xf numFmtId="164" fontId="0" fillId="0" borderId="0" xfId="0" applyNumberFormat="1"/>
    <xf numFmtId="0" fontId="0" fillId="21" borderId="0" xfId="0" applyFill="1"/>
    <xf numFmtId="164" fontId="0" fillId="0" borderId="0" xfId="1" applyFont="1"/>
    <xf numFmtId="9" fontId="0" fillId="0" borderId="0" xfId="2" applyFont="1" applyAlignment="1">
      <alignment horizontal="left"/>
    </xf>
    <xf numFmtId="2" fontId="0" fillId="5" borderId="1" xfId="0" applyNumberFormat="1" applyFill="1" applyBorder="1"/>
    <xf numFmtId="165" fontId="0" fillId="0" borderId="0" xfId="0" applyNumberFormat="1" applyAlignment="1">
      <alignment horizontal="center"/>
    </xf>
    <xf numFmtId="0" fontId="9" fillId="27" borderId="0" xfId="0" applyFont="1" applyFill="1"/>
    <xf numFmtId="0" fontId="2" fillId="13" borderId="10" xfId="0" applyFont="1" applyFill="1" applyBorder="1" applyAlignment="1">
      <alignment horizontal="center"/>
    </xf>
    <xf numFmtId="0" fontId="2" fillId="19" borderId="10" xfId="0" applyFont="1" applyFill="1" applyBorder="1" applyAlignment="1">
      <alignment horizontal="center"/>
    </xf>
    <xf numFmtId="1" fontId="9" fillId="11" borderId="0" xfId="0" applyNumberFormat="1" applyFont="1" applyFill="1"/>
    <xf numFmtId="0" fontId="9" fillId="27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177" fontId="0" fillId="0" borderId="0" xfId="2" applyNumberFormat="1" applyFont="1" applyAlignment="1">
      <alignment horizontal="center"/>
    </xf>
    <xf numFmtId="176" fontId="2" fillId="0" borderId="0" xfId="1" applyNumberFormat="1" applyFont="1"/>
    <xf numFmtId="167" fontId="0" fillId="3" borderId="1" xfId="2" applyNumberFormat="1" applyFont="1" applyFill="1" applyBorder="1" applyAlignment="1">
      <alignment horizontal="center"/>
    </xf>
    <xf numFmtId="0" fontId="2" fillId="28" borderId="10" xfId="0" applyFont="1" applyFill="1" applyBorder="1"/>
    <xf numFmtId="0" fontId="2" fillId="29" borderId="10" xfId="0" applyFont="1" applyFill="1" applyBorder="1"/>
    <xf numFmtId="0" fontId="2" fillId="29" borderId="10" xfId="0" applyFont="1" applyFill="1" applyBorder="1" applyAlignment="1">
      <alignment horizontal="center"/>
    </xf>
    <xf numFmtId="0" fontId="2" fillId="29" borderId="10" xfId="0" applyFont="1" applyFill="1" applyBorder="1" applyAlignment="1">
      <alignment horizontal="left"/>
    </xf>
    <xf numFmtId="177" fontId="2" fillId="0" borderId="0" xfId="2" applyNumberFormat="1" applyFont="1" applyAlignment="1">
      <alignment horizontal="center"/>
    </xf>
    <xf numFmtId="165" fontId="11" fillId="4" borderId="0" xfId="0" applyNumberFormat="1" applyFont="1" applyFill="1" applyAlignment="1">
      <alignment horizontal="center"/>
    </xf>
    <xf numFmtId="173" fontId="11" fillId="4" borderId="0" xfId="12" applyNumberFormat="1" applyFont="1" applyFill="1" applyAlignment="1"/>
    <xf numFmtId="0" fontId="2" fillId="0" borderId="0" xfId="0" applyFont="1" applyAlignment="1">
      <alignment horizontal="left"/>
    </xf>
    <xf numFmtId="1" fontId="11" fillId="4" borderId="0" xfId="0" applyNumberFormat="1" applyFont="1" applyFill="1" applyAlignment="1">
      <alignment horizontal="center"/>
    </xf>
    <xf numFmtId="1" fontId="9" fillId="11" borderId="0" xfId="0" applyNumberFormat="1" applyFont="1" applyFill="1" applyAlignment="1">
      <alignment horizontal="center"/>
    </xf>
    <xf numFmtId="1" fontId="10" fillId="23" borderId="11" xfId="0" applyNumberFormat="1" applyFont="1" applyFill="1" applyBorder="1" applyAlignment="1">
      <alignment horizontal="center"/>
    </xf>
    <xf numFmtId="0" fontId="9" fillId="16" borderId="10" xfId="0" applyFont="1" applyFill="1" applyBorder="1" applyAlignment="1">
      <alignment horizontal="center"/>
    </xf>
    <xf numFmtId="1" fontId="11" fillId="23" borderId="8" xfId="0" applyNumberFormat="1" applyFont="1" applyFill="1" applyBorder="1" applyAlignment="1">
      <alignment horizontal="center"/>
    </xf>
    <xf numFmtId="44" fontId="0" fillId="0" borderId="0" xfId="0" applyNumberFormat="1"/>
  </cellXfs>
  <cellStyles count="16">
    <cellStyle name="20% - Énfasis4" xfId="10" builtinId="42"/>
    <cellStyle name="20% - Énfasis5" xfId="11" builtinId="46"/>
    <cellStyle name="40% - Énfasis1" xfId="13" builtinId="31"/>
    <cellStyle name="60% - Énfasis1" xfId="14" builtinId="32"/>
    <cellStyle name="Bueno" xfId="8" builtinId="26"/>
    <cellStyle name="Énfasis3" xfId="15" builtinId="37"/>
    <cellStyle name="Euro_presupuesto 2011 flota" xfId="3" xr:uid="{00000000-0005-0000-0000-000000000000}"/>
    <cellStyle name="Millares" xfId="1" builtinId="3"/>
    <cellStyle name="Millares 2" xfId="4" xr:uid="{00000000-0005-0000-0000-000002000000}"/>
    <cellStyle name="Moneda" xfId="12" builtinId="4"/>
    <cellStyle name="Neutral" xfId="9" builtinId="28"/>
    <cellStyle name="Normal" xfId="0" builtinId="0"/>
    <cellStyle name="Normal 2" xfId="5" xr:uid="{00000000-0005-0000-0000-000004000000}"/>
    <cellStyle name="Normal 2 2" xfId="6" xr:uid="{00000000-0005-0000-0000-000005000000}"/>
    <cellStyle name="Normal 3" xfId="7" xr:uid="{00000000-0005-0000-0000-000006000000}"/>
    <cellStyle name="Porcentaje" xfId="2" builtinId="5"/>
  </cellStyles>
  <dxfs count="44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6" formatCode="_-* #,##0\ _€_-;\-* #,##0\ _€_-;_-* &quot;-&quot;??\ _€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numFmt numFmtId="13" formatCode="0%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0" formatCode="#,##0\ &quot;€&quot;;[Red]\-#,##0\ &quot;€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* #,##0.00\ &quot;€&quot;_-;\-* #,##0.00\ &quot;€&quot;_-;_-* &quot;-&quot;??\ &quot;€&quot;_-;_-@_-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Medium9"/>
  <colors>
    <mruColors>
      <color rgb="FFF8FD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ES"/>
              <a:t>€/KM SEGÚN COMBUSTIBLE Y DISTANCIA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'CALCULADORA COSTES'!$A$61</c:f>
              <c:strCache>
                <c:ptCount val="1"/>
                <c:pt idx="0">
                  <c:v>GASOIL 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'CALCULADORA COSTES'!$B$60:$M$60</c:f>
              <c:strCache>
                <c:ptCount val="12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</c:strCache>
            </c:strRef>
          </c:cat>
          <c:val>
            <c:numRef>
              <c:f>'CALCULADORA COSTES'!$B$61:$M$61</c:f>
              <c:numCache>
                <c:formatCode>0.00</c:formatCode>
                <c:ptCount val="12"/>
                <c:pt idx="0">
                  <c:v>3.5986945454545456</c:v>
                </c:pt>
                <c:pt idx="1">
                  <c:v>1.9558672727272726</c:v>
                </c:pt>
                <c:pt idx="2">
                  <c:v>1.4082581818181816</c:v>
                </c:pt>
                <c:pt idx="3">
                  <c:v>1.1344536363636366</c:v>
                </c:pt>
                <c:pt idx="4">
                  <c:v>0.97017090909090908</c:v>
                </c:pt>
                <c:pt idx="5">
                  <c:v>0.86064909090909092</c:v>
                </c:pt>
                <c:pt idx="6">
                  <c:v>0.78241922077922077</c:v>
                </c:pt>
                <c:pt idx="7">
                  <c:v>0.90385590909090918</c:v>
                </c:pt>
                <c:pt idx="8">
                  <c:v>0.83820969696969683</c:v>
                </c:pt>
                <c:pt idx="9">
                  <c:v>0.7856927272727271</c:v>
                </c:pt>
                <c:pt idx="10">
                  <c:v>0.74272429752066105</c:v>
                </c:pt>
                <c:pt idx="11">
                  <c:v>0.70691727272727267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C-470C-A2BD-72D37B8BB5B7}"/>
            </c:ext>
          </c:extLst>
        </c:ser>
        <c:ser>
          <c:idx val="1"/>
          <c:order val="1"/>
          <c:tx>
            <c:strRef>
              <c:f>'CALCULADORA COSTES'!$A$62</c:f>
              <c:strCache>
                <c:ptCount val="1"/>
                <c:pt idx="0">
                  <c:v>HVO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'CALCULADORA COSTES'!$B$60:$M$60</c:f>
              <c:strCache>
                <c:ptCount val="12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</c:strCache>
            </c:strRef>
          </c:cat>
          <c:val>
            <c:numRef>
              <c:f>'CALCULADORA COSTES'!$B$62:$M$62</c:f>
              <c:numCache>
                <c:formatCode>0.00</c:formatCode>
                <c:ptCount val="12"/>
                <c:pt idx="0">
                  <c:v>3.7006145454545454</c:v>
                </c:pt>
                <c:pt idx="1">
                  <c:v>2.057787272727273</c:v>
                </c:pt>
                <c:pt idx="2">
                  <c:v>1.5101781818181821</c:v>
                </c:pt>
                <c:pt idx="3">
                  <c:v>1.2363736363636364</c:v>
                </c:pt>
                <c:pt idx="4">
                  <c:v>1.072090909090909</c:v>
                </c:pt>
                <c:pt idx="5">
                  <c:v>0.96256909090909104</c:v>
                </c:pt>
                <c:pt idx="6">
                  <c:v>0.88433922077922089</c:v>
                </c:pt>
                <c:pt idx="7">
                  <c:v>1.0057759090909091</c:v>
                </c:pt>
                <c:pt idx="8">
                  <c:v>0.94012969696969695</c:v>
                </c:pt>
                <c:pt idx="9">
                  <c:v>0.88761272727272722</c:v>
                </c:pt>
                <c:pt idx="10">
                  <c:v>0.84464429752066117</c:v>
                </c:pt>
                <c:pt idx="11">
                  <c:v>0.80883727272727279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BC-470C-A2BD-72D37B8BB5B7}"/>
            </c:ext>
          </c:extLst>
        </c:ser>
        <c:ser>
          <c:idx val="2"/>
          <c:order val="2"/>
          <c:tx>
            <c:strRef>
              <c:f>'CALCULADORA COSTES'!$A$63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'CALCULADORA COSTES'!$B$60:$M$60</c:f>
              <c:strCache>
                <c:ptCount val="12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</c:strCache>
            </c:strRef>
          </c:cat>
          <c:val>
            <c:numRef>
              <c:f>'CALCULADORA COSTES'!$B$63:$M$63</c:f>
              <c:numCache>
                <c:formatCode>0.00</c:formatCode>
                <c:ptCount val="12"/>
                <c:pt idx="0">
                  <c:v>6.0289854545454542</c:v>
                </c:pt>
                <c:pt idx="1">
                  <c:v>3.3530127272727275</c:v>
                </c:pt>
                <c:pt idx="2">
                  <c:v>2.461021818181818</c:v>
                </c:pt>
                <c:pt idx="3">
                  <c:v>2.0150263636363634</c:v>
                </c:pt>
                <c:pt idx="4">
                  <c:v>1.7474290909090906</c:v>
                </c:pt>
                <c:pt idx="5">
                  <c:v>1.5690309090909091</c:v>
                </c:pt>
                <c:pt idx="6">
                  <c:v>1.4416036363636362</c:v>
                </c:pt>
                <c:pt idx="7">
                  <c:v>1.5261422727272729</c:v>
                </c:pt>
                <c:pt idx="8">
                  <c:v>1.4317975757575756</c:v>
                </c:pt>
                <c:pt idx="9">
                  <c:v>1.3563218181818182</c:v>
                </c:pt>
                <c:pt idx="10">
                  <c:v>1.2945689256198347</c:v>
                </c:pt>
                <c:pt idx="11">
                  <c:v>1.2431081818181817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BC-470C-A2BD-72D37B8BB5B7}"/>
            </c:ext>
          </c:extLst>
        </c:ser>
        <c:ser>
          <c:idx val="3"/>
          <c:order val="3"/>
          <c:tx>
            <c:strRef>
              <c:f>'CALCULADORA COSTES'!$A$64</c:f>
              <c:strCache>
                <c:ptCount val="1"/>
                <c:pt idx="0">
                  <c:v>ELÉCTRICO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'CALCULADORA COSTES'!$B$60:$M$60</c:f>
              <c:strCache>
                <c:ptCount val="12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</c:strCache>
            </c:strRef>
          </c:cat>
          <c:val>
            <c:numRef>
              <c:f>'CALCULADORA COSTES'!$B$64:$M$64</c:f>
              <c:numCache>
                <c:formatCode>0.00</c:formatCode>
                <c:ptCount val="12"/>
                <c:pt idx="0">
                  <c:v>4.7696305454545449</c:v>
                </c:pt>
                <c:pt idx="1">
                  <c:v>2.614603272727273</c:v>
                </c:pt>
                <c:pt idx="2">
                  <c:v>1.8962608484848484</c:v>
                </c:pt>
                <c:pt idx="3">
                  <c:v>1.5370896363636364</c:v>
                </c:pt>
                <c:pt idx="4">
                  <c:v>1.3215869090909089</c:v>
                </c:pt>
                <c:pt idx="5">
                  <c:v>1.1779184242424241</c:v>
                </c:pt>
                <c:pt idx="6">
                  <c:v>1.075298077922078</c:v>
                </c:pt>
                <c:pt idx="7">
                  <c:v>1.1784419090909091</c:v>
                </c:pt>
                <c:pt idx="8">
                  <c:v>1.0985679191919191</c:v>
                </c:pt>
                <c:pt idx="9">
                  <c:v>1.0346687272727273</c:v>
                </c:pt>
                <c:pt idx="10">
                  <c:v>0.98238757024793388</c:v>
                </c:pt>
                <c:pt idx="11">
                  <c:v>0.93881993939393948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4-421C-8EDA-B7D1FC0BB69B}"/>
            </c:ext>
          </c:extLst>
        </c:ser>
        <c:ser>
          <c:idx val="4"/>
          <c:order val="4"/>
          <c:tx>
            <c:strRef>
              <c:f>'CALCULADORA COSTES'!$A$65</c:f>
              <c:strCache>
                <c:ptCount val="1"/>
                <c:pt idx="0">
                  <c:v>GAS NATURAL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'CALCULADORA COSTES'!$B$60:$M$60</c:f>
              <c:strCache>
                <c:ptCount val="12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</c:strCache>
            </c:strRef>
          </c:cat>
          <c:val>
            <c:numRef>
              <c:f>'CALCULADORA COSTES'!$B$65:$M$65</c:f>
              <c:numCache>
                <c:formatCode>0.00</c:formatCode>
                <c:ptCount val="12"/>
                <c:pt idx="0">
                  <c:v>4.0441738181818181</c:v>
                </c:pt>
                <c:pt idx="1">
                  <c:v>2.2663829090909089</c:v>
                </c:pt>
                <c:pt idx="2">
                  <c:v>1.6737859393939394</c:v>
                </c:pt>
                <c:pt idx="3">
                  <c:v>1.3774874545454545</c:v>
                </c:pt>
                <c:pt idx="4">
                  <c:v>1.1997083636363635</c:v>
                </c:pt>
                <c:pt idx="5">
                  <c:v>1.0811889696969696</c:v>
                </c:pt>
                <c:pt idx="6">
                  <c:v>0.99653225974025983</c:v>
                </c:pt>
                <c:pt idx="7">
                  <c:v>1.1131488181818181</c:v>
                </c:pt>
                <c:pt idx="8">
                  <c:v>1.0437536161616161</c:v>
                </c:pt>
                <c:pt idx="9">
                  <c:v>0.98823745454545464</c:v>
                </c:pt>
                <c:pt idx="10">
                  <c:v>0.94281514049586779</c:v>
                </c:pt>
                <c:pt idx="11">
                  <c:v>0.90496321212121211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C4-421C-8EDA-B7D1FC0BB69B}"/>
            </c:ext>
          </c:extLst>
        </c:ser>
        <c:ser>
          <c:idx val="5"/>
          <c:order val="5"/>
          <c:tx>
            <c:strRef>
              <c:f>'CALCULADORA COSTES'!$A$66</c:f>
              <c:strCache>
                <c:ptCount val="1"/>
                <c:pt idx="0">
                  <c:v>BIOMETANO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'CALCULADORA COSTES'!$B$60:$M$60</c:f>
              <c:strCache>
                <c:ptCount val="12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</c:strCache>
            </c:strRef>
          </c:cat>
          <c:val>
            <c:numRef>
              <c:f>'CALCULADORA COSTES'!$B$66:$M$66</c:f>
              <c:numCache>
                <c:formatCode>0.00</c:formatCode>
                <c:ptCount val="12"/>
                <c:pt idx="0">
                  <c:v>4.0716298181818189</c:v>
                </c:pt>
                <c:pt idx="1">
                  <c:v>2.2938389090909093</c:v>
                </c:pt>
                <c:pt idx="2">
                  <c:v>1.7012419393939395</c:v>
                </c:pt>
                <c:pt idx="3">
                  <c:v>1.4049434545454547</c:v>
                </c:pt>
                <c:pt idx="4">
                  <c:v>1.2271643636363636</c:v>
                </c:pt>
                <c:pt idx="5">
                  <c:v>1.1086449696969696</c:v>
                </c:pt>
                <c:pt idx="6">
                  <c:v>1.0239882597402596</c:v>
                </c:pt>
                <c:pt idx="7">
                  <c:v>1.140604818181818</c:v>
                </c:pt>
                <c:pt idx="8">
                  <c:v>1.071209616161616</c:v>
                </c:pt>
                <c:pt idx="9">
                  <c:v>1.0156934545454543</c:v>
                </c:pt>
                <c:pt idx="10">
                  <c:v>0.97027114049586771</c:v>
                </c:pt>
                <c:pt idx="11">
                  <c:v>0.93241921212121193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C4-421C-8EDA-B7D1FC0BB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785361455"/>
        <c:axId val="1785358543"/>
      </c:barChart>
      <c:catAx>
        <c:axId val="178536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5358543"/>
        <c:crosses val="autoZero"/>
        <c:auto val="1"/>
        <c:lblAlgn val="ctr"/>
        <c:lblOffset val="100"/>
        <c:noMultiLvlLbl val="0"/>
      </c:catAx>
      <c:valAx>
        <c:axId val="178535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536145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ES"/>
              <a:t>COMPARATIVA COSTES ENERGÍA VS PRECIO H2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3.7849430603120682E-2"/>
          <c:y val="7.9699147110856655E-2"/>
          <c:w val="0.94183013172591412"/>
          <c:h val="0.82129816874508477"/>
        </c:manualLayout>
      </c:layout>
      <c:lineChart>
        <c:grouping val="standard"/>
        <c:varyColors val="0"/>
        <c:ser>
          <c:idx val="0"/>
          <c:order val="0"/>
          <c:tx>
            <c:strRef>
              <c:f>GRAFICO!$A$2</c:f>
              <c:strCache>
                <c:ptCount val="1"/>
                <c:pt idx="0">
                  <c:v>H2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GRAFICO!$B$1:$K$1</c:f>
              <c:strCache>
                <c:ptCount val="10"/>
                <c:pt idx="0">
                  <c:v>1 €</c:v>
                </c:pt>
                <c:pt idx="1">
                  <c:v>2 €</c:v>
                </c:pt>
                <c:pt idx="2">
                  <c:v>3 €</c:v>
                </c:pt>
                <c:pt idx="3">
                  <c:v>4 €</c:v>
                </c:pt>
                <c:pt idx="4">
                  <c:v>5 €</c:v>
                </c:pt>
                <c:pt idx="5">
                  <c:v>6 €</c:v>
                </c:pt>
                <c:pt idx="6">
                  <c:v>7 €</c:v>
                </c:pt>
                <c:pt idx="7">
                  <c:v>8 €</c:v>
                </c:pt>
                <c:pt idx="8">
                  <c:v>9 €</c:v>
                </c:pt>
                <c:pt idx="9">
                  <c:v>10 €</c:v>
                </c:pt>
              </c:strCache>
            </c:strRef>
          </c:cat>
          <c:val>
            <c:numRef>
              <c:f>GRAFICO!$B$2:$K$2</c:f>
              <c:numCache>
                <c:formatCode>General</c:formatCode>
                <c:ptCount val="10"/>
                <c:pt idx="0">
                  <c:v>0.08</c:v>
                </c:pt>
                <c:pt idx="1">
                  <c:v>0.16</c:v>
                </c:pt>
                <c:pt idx="2">
                  <c:v>0.24</c:v>
                </c:pt>
                <c:pt idx="3">
                  <c:v>0.32</c:v>
                </c:pt>
                <c:pt idx="4">
                  <c:v>0.4</c:v>
                </c:pt>
                <c:pt idx="5">
                  <c:v>0.48</c:v>
                </c:pt>
                <c:pt idx="6">
                  <c:v>0.56000000000000005</c:v>
                </c:pt>
                <c:pt idx="7">
                  <c:v>0.64</c:v>
                </c:pt>
                <c:pt idx="8">
                  <c:v>0.72</c:v>
                </c:pt>
                <c:pt idx="9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B5-410B-968D-CC382D6E24A0}"/>
            </c:ext>
          </c:extLst>
        </c:ser>
        <c:ser>
          <c:idx val="1"/>
          <c:order val="1"/>
          <c:tx>
            <c:strRef>
              <c:f>GRAFICO!$A$3</c:f>
              <c:strCache>
                <c:ptCount val="1"/>
                <c:pt idx="0">
                  <c:v>GASOIL 1€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GRAFICO!$B$1:$K$1</c:f>
              <c:strCache>
                <c:ptCount val="10"/>
                <c:pt idx="0">
                  <c:v>1 €</c:v>
                </c:pt>
                <c:pt idx="1">
                  <c:v>2 €</c:v>
                </c:pt>
                <c:pt idx="2">
                  <c:v>3 €</c:v>
                </c:pt>
                <c:pt idx="3">
                  <c:v>4 €</c:v>
                </c:pt>
                <c:pt idx="4">
                  <c:v>5 €</c:v>
                </c:pt>
                <c:pt idx="5">
                  <c:v>6 €</c:v>
                </c:pt>
                <c:pt idx="6">
                  <c:v>7 €</c:v>
                </c:pt>
                <c:pt idx="7">
                  <c:v>8 €</c:v>
                </c:pt>
                <c:pt idx="8">
                  <c:v>9 €</c:v>
                </c:pt>
                <c:pt idx="9">
                  <c:v>10 €</c:v>
                </c:pt>
              </c:strCache>
            </c:strRef>
          </c:cat>
          <c:val>
            <c:numRef>
              <c:f>GRAFICO!$B$3:$K$3</c:f>
              <c:numCache>
                <c:formatCode>General</c:formatCode>
                <c:ptCount val="10"/>
                <c:pt idx="0">
                  <c:v>0.315</c:v>
                </c:pt>
                <c:pt idx="1">
                  <c:v>0.315</c:v>
                </c:pt>
                <c:pt idx="2">
                  <c:v>0.315</c:v>
                </c:pt>
                <c:pt idx="3">
                  <c:v>0.315</c:v>
                </c:pt>
                <c:pt idx="4">
                  <c:v>0.315</c:v>
                </c:pt>
                <c:pt idx="5">
                  <c:v>0.315</c:v>
                </c:pt>
                <c:pt idx="6">
                  <c:v>0.315</c:v>
                </c:pt>
                <c:pt idx="7">
                  <c:v>0.315</c:v>
                </c:pt>
                <c:pt idx="8">
                  <c:v>0.315</c:v>
                </c:pt>
                <c:pt idx="9">
                  <c:v>0.315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B5-410B-968D-CC382D6E24A0}"/>
            </c:ext>
          </c:extLst>
        </c:ser>
        <c:ser>
          <c:idx val="3"/>
          <c:order val="3"/>
          <c:tx>
            <c:strRef>
              <c:f>GRAFICO!$A$5</c:f>
              <c:strCache>
                <c:ptCount val="1"/>
                <c:pt idx="0">
                  <c:v>Gasoil 0,8 €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GRAFICO!$B$1:$K$1</c:f>
              <c:strCache>
                <c:ptCount val="10"/>
                <c:pt idx="0">
                  <c:v>1 €</c:v>
                </c:pt>
                <c:pt idx="1">
                  <c:v>2 €</c:v>
                </c:pt>
                <c:pt idx="2">
                  <c:v>3 €</c:v>
                </c:pt>
                <c:pt idx="3">
                  <c:v>4 €</c:v>
                </c:pt>
                <c:pt idx="4">
                  <c:v>5 €</c:v>
                </c:pt>
                <c:pt idx="5">
                  <c:v>6 €</c:v>
                </c:pt>
                <c:pt idx="6">
                  <c:v>7 €</c:v>
                </c:pt>
                <c:pt idx="7">
                  <c:v>8 €</c:v>
                </c:pt>
                <c:pt idx="8">
                  <c:v>9 €</c:v>
                </c:pt>
                <c:pt idx="9">
                  <c:v>10 €</c:v>
                </c:pt>
              </c:strCache>
            </c:strRef>
          </c:cat>
          <c:val>
            <c:numRef>
              <c:f>GRAFICO!$B$5:$K$5</c:f>
              <c:numCache>
                <c:formatCode>General</c:formatCode>
                <c:ptCount val="10"/>
                <c:pt idx="0">
                  <c:v>0.252</c:v>
                </c:pt>
                <c:pt idx="1">
                  <c:v>0.252</c:v>
                </c:pt>
                <c:pt idx="2">
                  <c:v>0.252</c:v>
                </c:pt>
                <c:pt idx="3">
                  <c:v>0.252</c:v>
                </c:pt>
                <c:pt idx="4">
                  <c:v>0.252</c:v>
                </c:pt>
                <c:pt idx="5">
                  <c:v>0.252</c:v>
                </c:pt>
                <c:pt idx="6">
                  <c:v>0.252</c:v>
                </c:pt>
                <c:pt idx="7">
                  <c:v>0.252</c:v>
                </c:pt>
                <c:pt idx="8">
                  <c:v>0.252</c:v>
                </c:pt>
                <c:pt idx="9">
                  <c:v>0.252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B5-410B-968D-CC382D6E24A0}"/>
            </c:ext>
          </c:extLst>
        </c:ser>
        <c:ser>
          <c:idx val="4"/>
          <c:order val="4"/>
          <c:tx>
            <c:strRef>
              <c:f>GRAFICO!$A$6</c:f>
              <c:strCache>
                <c:ptCount val="1"/>
                <c:pt idx="0">
                  <c:v>Biometano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GRAFICO!$B$1:$K$1</c:f>
              <c:strCache>
                <c:ptCount val="10"/>
                <c:pt idx="0">
                  <c:v>1 €</c:v>
                </c:pt>
                <c:pt idx="1">
                  <c:v>2 €</c:v>
                </c:pt>
                <c:pt idx="2">
                  <c:v>3 €</c:v>
                </c:pt>
                <c:pt idx="3">
                  <c:v>4 €</c:v>
                </c:pt>
                <c:pt idx="4">
                  <c:v>5 €</c:v>
                </c:pt>
                <c:pt idx="5">
                  <c:v>6 €</c:v>
                </c:pt>
                <c:pt idx="6">
                  <c:v>7 €</c:v>
                </c:pt>
                <c:pt idx="7">
                  <c:v>8 €</c:v>
                </c:pt>
                <c:pt idx="8">
                  <c:v>9 €</c:v>
                </c:pt>
                <c:pt idx="9">
                  <c:v>10 €</c:v>
                </c:pt>
              </c:strCache>
            </c:strRef>
          </c:cat>
          <c:val>
            <c:numRef>
              <c:f>GRAFICO!$B$6:$K$6</c:f>
              <c:numCache>
                <c:formatCode>0.00</c:formatCode>
                <c:ptCount val="10"/>
                <c:pt idx="0">
                  <c:v>0.47520000000000001</c:v>
                </c:pt>
                <c:pt idx="1">
                  <c:v>0.47520000000000001</c:v>
                </c:pt>
                <c:pt idx="2">
                  <c:v>0.47520000000000001</c:v>
                </c:pt>
                <c:pt idx="3">
                  <c:v>0.47520000000000001</c:v>
                </c:pt>
                <c:pt idx="4">
                  <c:v>0.47520000000000001</c:v>
                </c:pt>
                <c:pt idx="5">
                  <c:v>0.47520000000000001</c:v>
                </c:pt>
                <c:pt idx="6">
                  <c:v>0.47520000000000001</c:v>
                </c:pt>
                <c:pt idx="7">
                  <c:v>0.47520000000000001</c:v>
                </c:pt>
                <c:pt idx="8">
                  <c:v>0.47520000000000001</c:v>
                </c:pt>
                <c:pt idx="9">
                  <c:v>0.47520000000000001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B5-410B-968D-CC382D6E24A0}"/>
            </c:ext>
          </c:extLst>
        </c:ser>
        <c:ser>
          <c:idx val="5"/>
          <c:order val="5"/>
          <c:tx>
            <c:strRef>
              <c:f>GRAFICO!$A$7</c:f>
              <c:strCache>
                <c:ptCount val="1"/>
                <c:pt idx="0">
                  <c:v>Gas Natural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GRAFICO!$B$1:$K$1</c:f>
              <c:strCache>
                <c:ptCount val="10"/>
                <c:pt idx="0">
                  <c:v>1 €</c:v>
                </c:pt>
                <c:pt idx="1">
                  <c:v>2 €</c:v>
                </c:pt>
                <c:pt idx="2">
                  <c:v>3 €</c:v>
                </c:pt>
                <c:pt idx="3">
                  <c:v>4 €</c:v>
                </c:pt>
                <c:pt idx="4">
                  <c:v>5 €</c:v>
                </c:pt>
                <c:pt idx="5">
                  <c:v>6 €</c:v>
                </c:pt>
                <c:pt idx="6">
                  <c:v>7 €</c:v>
                </c:pt>
                <c:pt idx="7">
                  <c:v>8 €</c:v>
                </c:pt>
                <c:pt idx="8">
                  <c:v>9 €</c:v>
                </c:pt>
                <c:pt idx="9">
                  <c:v>10 €</c:v>
                </c:pt>
              </c:strCache>
            </c:strRef>
          </c:cat>
          <c:val>
            <c:numRef>
              <c:f>GRAFICO!$B$7:$K$7</c:f>
              <c:numCache>
                <c:formatCode>0.00</c:formatCode>
                <c:ptCount val="10"/>
                <c:pt idx="0">
                  <c:v>0.44880000000000003</c:v>
                </c:pt>
                <c:pt idx="1">
                  <c:v>0.44880000000000003</c:v>
                </c:pt>
                <c:pt idx="2">
                  <c:v>0.44880000000000003</c:v>
                </c:pt>
                <c:pt idx="3">
                  <c:v>0.44880000000000003</c:v>
                </c:pt>
                <c:pt idx="4">
                  <c:v>0.44880000000000003</c:v>
                </c:pt>
                <c:pt idx="5">
                  <c:v>0.44880000000000003</c:v>
                </c:pt>
                <c:pt idx="6">
                  <c:v>0.44880000000000003</c:v>
                </c:pt>
                <c:pt idx="7">
                  <c:v>0.44880000000000003</c:v>
                </c:pt>
                <c:pt idx="8">
                  <c:v>0.44880000000000003</c:v>
                </c:pt>
                <c:pt idx="9">
                  <c:v>0.44880000000000003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B5-410B-968D-CC382D6E24A0}"/>
            </c:ext>
          </c:extLst>
        </c:ser>
        <c:ser>
          <c:idx val="6"/>
          <c:order val="6"/>
          <c:tx>
            <c:strRef>
              <c:f>GRAFICO!$A$8</c:f>
              <c:strCache>
                <c:ptCount val="1"/>
                <c:pt idx="0">
                  <c:v>Eléctrico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GRAFICO!$B$1:$K$1</c:f>
              <c:strCache>
                <c:ptCount val="10"/>
                <c:pt idx="0">
                  <c:v>1 €</c:v>
                </c:pt>
                <c:pt idx="1">
                  <c:v>2 €</c:v>
                </c:pt>
                <c:pt idx="2">
                  <c:v>3 €</c:v>
                </c:pt>
                <c:pt idx="3">
                  <c:v>4 €</c:v>
                </c:pt>
                <c:pt idx="4">
                  <c:v>5 €</c:v>
                </c:pt>
                <c:pt idx="5">
                  <c:v>6 €</c:v>
                </c:pt>
                <c:pt idx="6">
                  <c:v>7 €</c:v>
                </c:pt>
                <c:pt idx="7">
                  <c:v>8 €</c:v>
                </c:pt>
                <c:pt idx="8">
                  <c:v>9 €</c:v>
                </c:pt>
                <c:pt idx="9">
                  <c:v>10 €</c:v>
                </c:pt>
              </c:strCache>
            </c:strRef>
          </c:cat>
          <c:val>
            <c:numRef>
              <c:f>GRAFICO!$B$8:$K$8</c:f>
              <c:numCache>
                <c:formatCode>0.00</c:formatCode>
                <c:ptCount val="10"/>
                <c:pt idx="0">
                  <c:v>0.42090000000000005</c:v>
                </c:pt>
                <c:pt idx="1">
                  <c:v>0.42090000000000005</c:v>
                </c:pt>
                <c:pt idx="2">
                  <c:v>0.42090000000000005</c:v>
                </c:pt>
                <c:pt idx="3">
                  <c:v>0.42090000000000005</c:v>
                </c:pt>
                <c:pt idx="4">
                  <c:v>0.42090000000000005</c:v>
                </c:pt>
                <c:pt idx="5">
                  <c:v>0.42090000000000005</c:v>
                </c:pt>
                <c:pt idx="6">
                  <c:v>0.42090000000000005</c:v>
                </c:pt>
                <c:pt idx="7">
                  <c:v>0.42090000000000005</c:v>
                </c:pt>
                <c:pt idx="8">
                  <c:v>0.42090000000000005</c:v>
                </c:pt>
                <c:pt idx="9">
                  <c:v>0.42090000000000005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B5-410B-968D-CC382D6E2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496352"/>
        <c:axId val="75549801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GRAFICO!$A$4</c15:sqref>
                        </c15:formulaRef>
                      </c:ext>
                    </c:extLst>
                    <c:strCache>
                      <c:ptCount val="1"/>
                      <c:pt idx="0">
                        <c:v>GASOIL 0,9 €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GRAFICO!$B$1:$K$1</c15:sqref>
                        </c15:formulaRef>
                      </c:ext>
                    </c:extLst>
                    <c:strCache>
                      <c:ptCount val="10"/>
                      <c:pt idx="0">
                        <c:v>1 €</c:v>
                      </c:pt>
                      <c:pt idx="1">
                        <c:v>2 €</c:v>
                      </c:pt>
                      <c:pt idx="2">
                        <c:v>3 €</c:v>
                      </c:pt>
                      <c:pt idx="3">
                        <c:v>4 €</c:v>
                      </c:pt>
                      <c:pt idx="4">
                        <c:v>5 €</c:v>
                      </c:pt>
                      <c:pt idx="5">
                        <c:v>6 €</c:v>
                      </c:pt>
                      <c:pt idx="6">
                        <c:v>7 €</c:v>
                      </c:pt>
                      <c:pt idx="7">
                        <c:v>8 €</c:v>
                      </c:pt>
                      <c:pt idx="8">
                        <c:v>9 €</c:v>
                      </c:pt>
                      <c:pt idx="9">
                        <c:v>10 €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GRAFICO!$B$4:$K$4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0.28399999999999997</c:v>
                      </c:pt>
                      <c:pt idx="1">
                        <c:v>0.28399999999999997</c:v>
                      </c:pt>
                      <c:pt idx="2">
                        <c:v>0.28399999999999997</c:v>
                      </c:pt>
                      <c:pt idx="3">
                        <c:v>0.28399999999999997</c:v>
                      </c:pt>
                      <c:pt idx="4">
                        <c:v>0.28399999999999997</c:v>
                      </c:pt>
                      <c:pt idx="5">
                        <c:v>0.28399999999999997</c:v>
                      </c:pt>
                      <c:pt idx="6">
                        <c:v>0.28399999999999997</c:v>
                      </c:pt>
                      <c:pt idx="7">
                        <c:v>0.28399999999999997</c:v>
                      </c:pt>
                      <c:pt idx="8">
                        <c:v>0.28399999999999997</c:v>
                      </c:pt>
                      <c:pt idx="9">
                        <c:v>0.28399999999999997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DB5-410B-968D-CC382D6E24A0}"/>
                  </c:ext>
                </c:extLst>
              </c15:ser>
            </c15:filteredLineSeries>
          </c:ext>
        </c:extLst>
      </c:lineChart>
      <c:catAx>
        <c:axId val="75549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5498016"/>
        <c:crosses val="autoZero"/>
        <c:auto val="1"/>
        <c:lblAlgn val="ctr"/>
        <c:lblOffset val="100"/>
        <c:noMultiLvlLbl val="0"/>
      </c:catAx>
      <c:valAx>
        <c:axId val="75549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549635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OPERATIVA</a:t>
            </a:r>
            <a:r>
              <a:rPr lang="es-ES" baseline="0"/>
              <a:t> 100 KMS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Hoja3!$B$27</c:f>
              <c:strCache>
                <c:ptCount val="1"/>
                <c:pt idx="0">
                  <c:v>H2 (5€)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Hoja3!$C$21</c:f>
              <c:strCache>
                <c:ptCount val="1"/>
                <c:pt idx="0">
                  <c:v>100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Hoja3!$C$27:$P$27</c15:sqref>
                  </c15:fullRef>
                </c:ext>
              </c:extLst>
              <c:f>Hoja3!$C$27</c:f>
              <c:numCache>
                <c:formatCode>0%</c:formatCode>
                <c:ptCount val="1"/>
                <c:pt idx="0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4-4EEF-A27A-3F964CFB437B}"/>
            </c:ext>
          </c:extLst>
        </c:ser>
        <c:ser>
          <c:idx val="7"/>
          <c:order val="7"/>
          <c:tx>
            <c:strRef>
              <c:f>Hoja3!$B$29</c:f>
              <c:strCache>
                <c:ptCount val="1"/>
                <c:pt idx="0">
                  <c:v>H2 (3€)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Hoja3!$C$21</c:f>
              <c:strCache>
                <c:ptCount val="1"/>
                <c:pt idx="0">
                  <c:v>100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Hoja3!$C$29:$P$29</c15:sqref>
                  </c15:fullRef>
                </c:ext>
              </c:extLst>
              <c:f>Hoja3!$C$29</c:f>
              <c:numCache>
                <c:formatCode>0%</c:formatCode>
                <c:ptCount val="1"/>
                <c:pt idx="0">
                  <c:v>0.66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1224-4EEF-A27A-3F964CFB437B}"/>
            </c:ext>
          </c:extLst>
        </c:ser>
        <c:ser>
          <c:idx val="9"/>
          <c:order val="9"/>
          <c:tx>
            <c:strRef>
              <c:f>Hoja3!$B$31</c:f>
              <c:strCache>
                <c:ptCount val="1"/>
                <c:pt idx="0">
                  <c:v>H2 (1€)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Hoja3!$C$21</c:f>
              <c:strCache>
                <c:ptCount val="1"/>
                <c:pt idx="0">
                  <c:v>100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Hoja3!$C$31:$P$31</c15:sqref>
                  </c15:fullRef>
                </c:ext>
              </c:extLst>
              <c:f>Hoja3!$C$31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24-4EEF-A27A-3F964CFB437B}"/>
            </c:ext>
          </c:extLst>
        </c:ser>
        <c:ser>
          <c:idx val="10"/>
          <c:order val="10"/>
          <c:tx>
            <c:strRef>
              <c:f>Hoja3!$B$32</c:f>
              <c:strCache>
                <c:ptCount val="1"/>
                <c:pt idx="0">
                  <c:v>GAS NATURAL  (0,6 €)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Hoja3!$C$21</c:f>
              <c:strCache>
                <c:ptCount val="1"/>
                <c:pt idx="0">
                  <c:v>100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Hoja3!$C$32:$P$32</c15:sqref>
                  </c15:fullRef>
                </c:ext>
              </c:extLst>
              <c:f>Hoja3!$C$32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24-4EEF-A27A-3F964CFB437B}"/>
            </c:ext>
          </c:extLst>
        </c:ser>
        <c:ser>
          <c:idx val="12"/>
          <c:order val="12"/>
          <c:tx>
            <c:strRef>
              <c:f>Hoja3!$B$34</c:f>
              <c:strCache>
                <c:ptCount val="1"/>
                <c:pt idx="0">
                  <c:v>BIOMETANO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Hoja3!$C$21</c:f>
              <c:strCache>
                <c:ptCount val="1"/>
                <c:pt idx="0">
                  <c:v>100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Hoja3!$C$34:$P$34</c15:sqref>
                  </c15:fullRef>
                </c:ext>
              </c:extLst>
              <c:f>Hoja3!$C$34</c:f>
              <c:numCache>
                <c:formatCode>0%</c:formatCode>
                <c:ptCount val="1"/>
                <c:pt idx="0">
                  <c:v>0.19230769230769229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24-4EEF-A27A-3F964CFB4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309567"/>
        <c:axId val="20512891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Hoja3!$B$22</c15:sqref>
                        </c15:formulaRef>
                      </c:ext>
                    </c:extLst>
                    <c:strCache>
                      <c:ptCount val="1"/>
                      <c:pt idx="0">
                        <c:v>H2 (10€)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Hoja3!$C$21:$P$21</c15:sqref>
                        </c15:fullRef>
                        <c15:formulaRef>
                          <c15:sqref>Hoja3!$C$21</c15:sqref>
                        </c15:formulaRef>
                      </c:ext>
                    </c:extLst>
                    <c:strCache>
                      <c:ptCount val="1"/>
                      <c:pt idx="0">
                        <c:v>100 kms/day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Hoja3!$C$22:$P$22</c15:sqref>
                        </c15:fullRef>
                        <c15:formulaRef>
                          <c15:sqref>Hoja3!$C$22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0.84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224-4EEF-A27A-3F964CFB437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Hoja3!$B$23</c15:sqref>
                        </c15:formulaRef>
                      </c:ext>
                    </c:extLst>
                    <c:strCache>
                      <c:ptCount val="1"/>
                      <c:pt idx="0">
                        <c:v>H2 (9€)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Hoja3!$C$21</c15:sqref>
                        </c15:formulaRef>
                      </c:ext>
                    </c:extLst>
                    <c:strCache>
                      <c:ptCount val="1"/>
                      <c:pt idx="0">
                        <c:v>100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Hoja3!$C$23:$P$23</c15:sqref>
                        </c15:fullRef>
                        <c15:formulaRef>
                          <c15:sqref>Hoja3!$C$23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0.82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224-4EEF-A27A-3F964CFB437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Hoja3!$B$24</c15:sqref>
                        </c15:formulaRef>
                      </c:ext>
                    </c:extLst>
                    <c:strCache>
                      <c:ptCount val="1"/>
                      <c:pt idx="0">
                        <c:v>H2 (8€)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Hoja3!$C$21</c15:sqref>
                        </c15:formulaRef>
                      </c:ext>
                    </c:extLst>
                    <c:strCache>
                      <c:ptCount val="1"/>
                      <c:pt idx="0">
                        <c:v>100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Hoja3!$C$24:$P$24</c15:sqref>
                        </c15:fullRef>
                        <c15:formulaRef>
                          <c15:sqref>Hoja3!$C$24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0.79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224-4EEF-A27A-3F964CFB437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Hoja3!$B$25</c15:sqref>
                        </c15:formulaRef>
                      </c:ext>
                    </c:extLst>
                    <c:strCache>
                      <c:ptCount val="1"/>
                      <c:pt idx="0">
                        <c:v>H2 (7€)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Hoja3!$C$21</c15:sqref>
                        </c15:formulaRef>
                      </c:ext>
                    </c:extLst>
                    <c:strCache>
                      <c:ptCount val="1"/>
                      <c:pt idx="0">
                        <c:v>100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Hoja3!$C$25:$P$25</c15:sqref>
                        </c15:fullRef>
                        <c15:formulaRef>
                          <c15:sqref>Hoja3!$C$25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0.76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224-4EEF-A27A-3F964CFB437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Hoja3!$B$26</c15:sqref>
                        </c15:formulaRef>
                      </c:ext>
                    </c:extLst>
                    <c:strCache>
                      <c:ptCount val="1"/>
                      <c:pt idx="0">
                        <c:v>H2 (6€)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Hoja3!$C$21</c15:sqref>
                        </c15:formulaRef>
                      </c:ext>
                    </c:extLst>
                    <c:strCache>
                      <c:ptCount val="1"/>
                      <c:pt idx="0">
                        <c:v>100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Hoja3!$C$26:$P$26</c15:sqref>
                        </c15:fullRef>
                        <c15:formulaRef>
                          <c15:sqref>Hoja3!$C$26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224-4EEF-A27A-3F964CFB437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Hoja3!$B$28</c15:sqref>
                        </c15:formulaRef>
                      </c:ext>
                    </c:extLst>
                    <c:strCache>
                      <c:ptCount val="1"/>
                      <c:pt idx="0">
                        <c:v>H2 (4€)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Hoja3!$C$21</c15:sqref>
                        </c15:formulaRef>
                      </c:ext>
                    </c:extLst>
                    <c:strCache>
                      <c:ptCount val="1"/>
                      <c:pt idx="0">
                        <c:v>100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Hoja3!$C$28:$P$28</c15:sqref>
                        </c15:fullRef>
                        <c15:formulaRef>
                          <c15:sqref>Hoja3!$C$28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224-4EEF-A27A-3F964CFB437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Hoja3!$B$30</c15:sqref>
                        </c15:formulaRef>
                      </c:ext>
                    </c:extLst>
                    <c:strCache>
                      <c:ptCount val="1"/>
                      <c:pt idx="0">
                        <c:v>H2 (2€)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Hoja3!$C$21</c15:sqref>
                        </c15:formulaRef>
                      </c:ext>
                    </c:extLst>
                    <c:strCache>
                      <c:ptCount val="1"/>
                      <c:pt idx="0">
                        <c:v>100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Hoja3!$C$30:$P$30</c15:sqref>
                        </c15:fullRef>
                        <c15:formulaRef>
                          <c15:sqref>Hoja3!$C$30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0.63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224-4EEF-A27A-3F964CFB437B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Hoja3!$B$33</c15:sqref>
                        </c15:formulaRef>
                      </c:ext>
                    </c:extLst>
                    <c:strCache>
                      <c:ptCount val="1"/>
                      <c:pt idx="0">
                        <c:v>GASOIL (0,8 €)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Hoja3!$C$21</c15:sqref>
                        </c15:formulaRef>
                      </c:ext>
                    </c:extLst>
                    <c:strCache>
                      <c:ptCount val="1"/>
                      <c:pt idx="0">
                        <c:v>100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Hoja3!$C$33:$P$33</c15:sqref>
                        </c15:fullRef>
                        <c15:formulaRef>
                          <c15:sqref>Hoja3!$C$33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224-4EEF-A27A-3F964CFB437B}"/>
                  </c:ext>
                </c:extLst>
              </c15:ser>
            </c15:filteredBarSeries>
          </c:ext>
        </c:extLst>
      </c:barChart>
      <c:catAx>
        <c:axId val="205130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289183"/>
        <c:crosses val="autoZero"/>
        <c:auto val="1"/>
        <c:lblAlgn val="ctr"/>
        <c:lblOffset val="100"/>
        <c:noMultiLvlLbl val="0"/>
      </c:catAx>
      <c:valAx>
        <c:axId val="20512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30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OPERATIVA</a:t>
            </a:r>
            <a:r>
              <a:rPr lang="es-ES" baseline="0"/>
              <a:t> 200 KMS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Hoja3!$B$27</c:f>
              <c:strCache>
                <c:ptCount val="1"/>
                <c:pt idx="0">
                  <c:v>H2 (5€)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Hoja3!$D$21</c:f>
              <c:strCache>
                <c:ptCount val="1"/>
                <c:pt idx="0">
                  <c:v>200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Hoja3!$C$27:$P$27</c15:sqref>
                  </c15:fullRef>
                </c:ext>
              </c:extLst>
              <c:f>Hoja3!$D$27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0-47FE-8E15-3B9D8972B3D6}"/>
            </c:ext>
          </c:extLst>
        </c:ser>
        <c:ser>
          <c:idx val="7"/>
          <c:order val="7"/>
          <c:tx>
            <c:strRef>
              <c:f>Hoja3!$B$29</c:f>
              <c:strCache>
                <c:ptCount val="1"/>
                <c:pt idx="0">
                  <c:v>H2 (3€)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Hoja3!$D$21</c:f>
              <c:strCache>
                <c:ptCount val="1"/>
                <c:pt idx="0">
                  <c:v>200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Hoja3!$C$29:$P$29</c15:sqref>
                  </c15:fullRef>
                </c:ext>
              </c:extLst>
              <c:f>Hoja3!$D$29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F850-47FE-8E15-3B9D8972B3D6}"/>
            </c:ext>
          </c:extLst>
        </c:ser>
        <c:ser>
          <c:idx val="10"/>
          <c:order val="10"/>
          <c:tx>
            <c:strRef>
              <c:f>Hoja3!$B$32</c:f>
              <c:strCache>
                <c:ptCount val="1"/>
                <c:pt idx="0">
                  <c:v>GAS NATURAL  (0,6 €)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Hoja3!$D$21</c:f>
              <c:strCache>
                <c:ptCount val="1"/>
                <c:pt idx="0">
                  <c:v>200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Hoja3!$C$32:$P$32</c15:sqref>
                  </c15:fullRef>
                </c:ext>
              </c:extLst>
              <c:f>Hoja3!$D$32</c:f>
              <c:numCache>
                <c:formatCode>0%</c:formatCode>
                <c:ptCount val="1"/>
                <c:pt idx="0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50-47FE-8E15-3B9D8972B3D6}"/>
            </c:ext>
          </c:extLst>
        </c:ser>
        <c:ser>
          <c:idx val="12"/>
          <c:order val="12"/>
          <c:tx>
            <c:strRef>
              <c:f>Hoja3!$B$34</c:f>
              <c:strCache>
                <c:ptCount val="1"/>
                <c:pt idx="0">
                  <c:v>BIOMETANO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Hoja3!$D$21</c:f>
              <c:strCache>
                <c:ptCount val="1"/>
                <c:pt idx="0">
                  <c:v>200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Hoja3!$C$34:$P$34</c15:sqref>
                  </c15:fullRef>
                </c:ext>
              </c:extLst>
              <c:f>Hoja3!$D$34</c:f>
              <c:numCache>
                <c:formatCode>0%</c:formatCode>
                <c:ptCount val="1"/>
                <c:pt idx="0">
                  <c:v>0.18235294117647038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50-47FE-8E15-3B9D8972B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309567"/>
        <c:axId val="20512891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Hoja3!$B$22</c15:sqref>
                        </c15:formulaRef>
                      </c:ext>
                    </c:extLst>
                    <c:strCache>
                      <c:ptCount val="1"/>
                      <c:pt idx="0">
                        <c:v>H2 (10€)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Hoja3!$C$21:$P$21</c15:sqref>
                        </c15:fullRef>
                        <c15:formulaRef>
                          <c15:sqref>Hoja3!$D$21</c15:sqref>
                        </c15:formulaRef>
                      </c:ext>
                    </c:extLst>
                    <c:strCache>
                      <c:ptCount val="1"/>
                      <c:pt idx="0">
                        <c:v>200 kms/day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Hoja3!$C$22:$P$22</c15:sqref>
                        </c15:fullRef>
                        <c15:formulaRef>
                          <c15:sqref>Hoja3!$D$22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0.94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F850-47FE-8E15-3B9D8972B3D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Hoja3!$B$23</c15:sqref>
                        </c15:formulaRef>
                      </c:ext>
                    </c:extLst>
                    <c:strCache>
                      <c:ptCount val="1"/>
                      <c:pt idx="0">
                        <c:v>H2 (9€)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Hoja3!$D$21</c15:sqref>
                        </c15:formulaRef>
                      </c:ext>
                    </c:extLst>
                    <c:strCache>
                      <c:ptCount val="1"/>
                      <c:pt idx="0">
                        <c:v>200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Hoja3!$C$23:$P$23</c15:sqref>
                        </c15:fullRef>
                        <c15:formulaRef>
                          <c15:sqref>Hoja3!$D$23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0.89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850-47FE-8E15-3B9D8972B3D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Hoja3!$B$24</c15:sqref>
                        </c15:formulaRef>
                      </c:ext>
                    </c:extLst>
                    <c:strCache>
                      <c:ptCount val="1"/>
                      <c:pt idx="0">
                        <c:v>H2 (8€)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Hoja3!$D$21</c15:sqref>
                        </c15:formulaRef>
                      </c:ext>
                    </c:extLst>
                    <c:strCache>
                      <c:ptCount val="1"/>
                      <c:pt idx="0">
                        <c:v>200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Hoja3!$C$24:$P$24</c15:sqref>
                        </c15:fullRef>
                        <c15:formulaRef>
                          <c15:sqref>Hoja3!$D$24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0.84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850-47FE-8E15-3B9D8972B3D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Hoja3!$B$25</c15:sqref>
                        </c15:formulaRef>
                      </c:ext>
                    </c:extLst>
                    <c:strCache>
                      <c:ptCount val="1"/>
                      <c:pt idx="0">
                        <c:v>H2 (7€)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Hoja3!$D$21</c15:sqref>
                        </c15:formulaRef>
                      </c:ext>
                    </c:extLst>
                    <c:strCache>
                      <c:ptCount val="1"/>
                      <c:pt idx="0">
                        <c:v>200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Hoja3!$C$25:$P$25</c15:sqref>
                        </c15:fullRef>
                        <c15:formulaRef>
                          <c15:sqref>Hoja3!$D$25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850-47FE-8E15-3B9D8972B3D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Hoja3!$B$26</c15:sqref>
                        </c15:formulaRef>
                      </c:ext>
                    </c:extLst>
                    <c:strCache>
                      <c:ptCount val="1"/>
                      <c:pt idx="0">
                        <c:v>H2 (6€)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Hoja3!$D$21</c15:sqref>
                        </c15:formulaRef>
                      </c:ext>
                    </c:extLst>
                    <c:strCache>
                      <c:ptCount val="1"/>
                      <c:pt idx="0">
                        <c:v>200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Hoja3!$C$26:$P$26</c15:sqref>
                        </c15:fullRef>
                        <c15:formulaRef>
                          <c15:sqref>Hoja3!$D$26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0.75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850-47FE-8E15-3B9D8972B3D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Hoja3!$B$28</c15:sqref>
                        </c15:formulaRef>
                      </c:ext>
                    </c:extLst>
                    <c:strCache>
                      <c:ptCount val="1"/>
                      <c:pt idx="0">
                        <c:v>H2 (4€)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Hoja3!$D$21</c15:sqref>
                        </c15:formulaRef>
                      </c:ext>
                    </c:extLst>
                    <c:strCache>
                      <c:ptCount val="1"/>
                      <c:pt idx="0">
                        <c:v>200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Hoja3!$C$28:$P$28</c15:sqref>
                        </c15:fullRef>
                        <c15:formulaRef>
                          <c15:sqref>Hoja3!$D$28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850-47FE-8E15-3B9D8972B3D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Hoja3!$B$30</c15:sqref>
                        </c15:formulaRef>
                      </c:ext>
                    </c:extLst>
                    <c:strCache>
                      <c:ptCount val="1"/>
                      <c:pt idx="0">
                        <c:v>H2 (2€)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Hoja3!$D$21</c15:sqref>
                        </c15:formulaRef>
                      </c:ext>
                    </c:extLst>
                    <c:strCache>
                      <c:ptCount val="1"/>
                      <c:pt idx="0">
                        <c:v>200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Hoja3!$C$30:$P$30</c15:sqref>
                        </c15:fullRef>
                        <c15:formulaRef>
                          <c15:sqref>Hoja3!$D$30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0.55000000000000004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850-47FE-8E15-3B9D8972B3D6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Hoja3!$B$31</c15:sqref>
                        </c15:formulaRef>
                      </c:ext>
                    </c:extLst>
                    <c:strCache>
                      <c:ptCount val="1"/>
                      <c:pt idx="0">
                        <c:v>H2 (1€)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Hoja3!$D$21</c15:sqref>
                        </c15:formulaRef>
                      </c:ext>
                    </c:extLst>
                    <c:strCache>
                      <c:ptCount val="1"/>
                      <c:pt idx="0">
                        <c:v>200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Hoja3!$C$31:$P$31</c15:sqref>
                        </c15:fullRef>
                        <c15:formulaRef>
                          <c15:sqref>Hoja3!$D$31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850-47FE-8E15-3B9D8972B3D6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Hoja3!$B$33</c15:sqref>
                        </c15:formulaRef>
                      </c:ext>
                    </c:extLst>
                    <c:strCache>
                      <c:ptCount val="1"/>
                      <c:pt idx="0">
                        <c:v>GASOIL (0,8 €)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Hoja3!$D$21</c15:sqref>
                        </c15:formulaRef>
                      </c:ext>
                    </c:extLst>
                    <c:strCache>
                      <c:ptCount val="1"/>
                      <c:pt idx="0">
                        <c:v>200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Hoja3!$C$33:$P$33</c15:sqref>
                        </c15:fullRef>
                        <c15:formulaRef>
                          <c15:sqref>Hoja3!$D$33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850-47FE-8E15-3B9D8972B3D6}"/>
                  </c:ext>
                </c:extLst>
              </c15:ser>
            </c15:filteredBarSeries>
          </c:ext>
        </c:extLst>
      </c:barChart>
      <c:catAx>
        <c:axId val="205130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289183"/>
        <c:crosses val="autoZero"/>
        <c:auto val="1"/>
        <c:lblAlgn val="ctr"/>
        <c:lblOffset val="100"/>
        <c:noMultiLvlLbl val="0"/>
      </c:catAx>
      <c:valAx>
        <c:axId val="20512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30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OPERATIVA</a:t>
            </a:r>
            <a:r>
              <a:rPr lang="es-ES" baseline="0"/>
              <a:t> 300 KMS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Hoja3!$B$27</c:f>
              <c:strCache>
                <c:ptCount val="1"/>
                <c:pt idx="0">
                  <c:v>H2 (5€)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Hoja3!$E$21</c:f>
              <c:strCache>
                <c:ptCount val="1"/>
                <c:pt idx="0">
                  <c:v>300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Hoja3!$C$27:$P$27</c15:sqref>
                  </c15:fullRef>
                </c:ext>
              </c:extLst>
              <c:f>Hoja3!$E$27</c:f>
              <c:numCache>
                <c:formatCode>0%</c:formatCode>
                <c:ptCount val="1"/>
                <c:pt idx="0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9-4F4C-85B6-D3C839ACCB95}"/>
            </c:ext>
          </c:extLst>
        </c:ser>
        <c:ser>
          <c:idx val="7"/>
          <c:order val="7"/>
          <c:tx>
            <c:strRef>
              <c:f>Hoja3!$B$29</c:f>
              <c:strCache>
                <c:ptCount val="1"/>
                <c:pt idx="0">
                  <c:v>H2 (3€)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Hoja3!$E$21</c:f>
              <c:strCache>
                <c:ptCount val="1"/>
                <c:pt idx="0">
                  <c:v>300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Hoja3!$C$29:$P$29</c15:sqref>
                  </c15:fullRef>
                </c:ext>
              </c:extLst>
              <c:f>Hoja3!$E$29</c:f>
              <c:numCache>
                <c:formatCode>0%</c:formatCode>
                <c:ptCount val="1"/>
                <c:pt idx="0">
                  <c:v>0.55000000000000004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25E9-4F4C-85B6-D3C839ACCB95}"/>
            </c:ext>
          </c:extLst>
        </c:ser>
        <c:ser>
          <c:idx val="10"/>
          <c:order val="10"/>
          <c:tx>
            <c:strRef>
              <c:f>Hoja3!$B$32</c:f>
              <c:strCache>
                <c:ptCount val="1"/>
                <c:pt idx="0">
                  <c:v>GAS NATURAL  (0,6 €)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Hoja3!$E$21</c:f>
              <c:strCache>
                <c:ptCount val="1"/>
                <c:pt idx="0">
                  <c:v>300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Hoja3!$C$32:$P$32</c15:sqref>
                  </c15:fullRef>
                </c:ext>
              </c:extLst>
              <c:f>Hoja3!$E$32</c:f>
              <c:numCache>
                <c:formatCode>0%</c:formatCode>
                <c:ptCount val="1"/>
                <c:pt idx="0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E9-4F4C-85B6-D3C839ACCB95}"/>
            </c:ext>
          </c:extLst>
        </c:ser>
        <c:ser>
          <c:idx val="12"/>
          <c:order val="12"/>
          <c:tx>
            <c:strRef>
              <c:f>Hoja3!$B$34</c:f>
              <c:strCache>
                <c:ptCount val="1"/>
                <c:pt idx="0">
                  <c:v>BIOMETANO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Hoja3!$E$21</c:f>
              <c:strCache>
                <c:ptCount val="1"/>
                <c:pt idx="0">
                  <c:v>300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Hoja3!$C$34:$P$34</c15:sqref>
                  </c15:fullRef>
                </c:ext>
              </c:extLst>
              <c:f>Hoja3!$E$34</c:f>
              <c:numCache>
                <c:formatCode>0%</c:formatCode>
                <c:ptCount val="1"/>
                <c:pt idx="0">
                  <c:v>0.17886178861788626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E9-4F4C-85B6-D3C839ACC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309567"/>
        <c:axId val="20512891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Hoja3!$B$22</c15:sqref>
                        </c15:formulaRef>
                      </c:ext>
                    </c:extLst>
                    <c:strCache>
                      <c:ptCount val="1"/>
                      <c:pt idx="0">
                        <c:v>H2 (10€)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Hoja3!$C$21:$P$21</c15:sqref>
                        </c15:fullRef>
                        <c15:formulaRef>
                          <c15:sqref>Hoja3!$E$21</c15:sqref>
                        </c15:formulaRef>
                      </c:ext>
                    </c:extLst>
                    <c:strCache>
                      <c:ptCount val="1"/>
                      <c:pt idx="0">
                        <c:v>300 kms/day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Hoja3!$C$22:$P$22</c15:sqref>
                        </c15:fullRef>
                        <c15:formulaRef>
                          <c15:sqref>Hoja3!$E$22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25E9-4F4C-85B6-D3C839ACCB9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Hoja3!$B$23</c15:sqref>
                        </c15:formulaRef>
                      </c:ext>
                    </c:extLst>
                    <c:strCache>
                      <c:ptCount val="1"/>
                      <c:pt idx="0">
                        <c:v>H2 (9€)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Hoja3!$E$21</c15:sqref>
                        </c15:formulaRef>
                      </c:ext>
                    </c:extLst>
                    <c:strCache>
                      <c:ptCount val="1"/>
                      <c:pt idx="0">
                        <c:v>300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Hoja3!$C$23:$P$23</c15:sqref>
                        </c15:fullRef>
                        <c15:formulaRef>
                          <c15:sqref>Hoja3!$E$23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5E9-4F4C-85B6-D3C839ACCB9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Hoja3!$B$24</c15:sqref>
                        </c15:formulaRef>
                      </c:ext>
                    </c:extLst>
                    <c:strCache>
                      <c:ptCount val="1"/>
                      <c:pt idx="0">
                        <c:v>H2 (8€)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Hoja3!$E$21</c15:sqref>
                        </c15:formulaRef>
                      </c:ext>
                    </c:extLst>
                    <c:strCache>
                      <c:ptCount val="1"/>
                      <c:pt idx="0">
                        <c:v>300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Hoja3!$C$24:$P$24</c15:sqref>
                        </c15:fullRef>
                        <c15:formulaRef>
                          <c15:sqref>Hoja3!$E$24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0.89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5E9-4F4C-85B6-D3C839ACCB9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Hoja3!$B$25</c15:sqref>
                        </c15:formulaRef>
                      </c:ext>
                    </c:extLst>
                    <c:strCache>
                      <c:ptCount val="1"/>
                      <c:pt idx="0">
                        <c:v>H2 (7€)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Hoja3!$E$21</c15:sqref>
                        </c15:formulaRef>
                      </c:ext>
                    </c:extLst>
                    <c:strCache>
                      <c:ptCount val="1"/>
                      <c:pt idx="0">
                        <c:v>300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Hoja3!$C$25:$P$25</c15:sqref>
                        </c15:fullRef>
                        <c15:formulaRef>
                          <c15:sqref>Hoja3!$E$25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0.82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5E9-4F4C-85B6-D3C839ACCB9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Hoja3!$B$26</c15:sqref>
                        </c15:formulaRef>
                      </c:ext>
                    </c:extLst>
                    <c:strCache>
                      <c:ptCount val="1"/>
                      <c:pt idx="0">
                        <c:v>H2 (6€)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Hoja3!$E$21</c15:sqref>
                        </c15:formulaRef>
                      </c:ext>
                    </c:extLst>
                    <c:strCache>
                      <c:ptCount val="1"/>
                      <c:pt idx="0">
                        <c:v>300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Hoja3!$C$26:$P$26</c15:sqref>
                        </c15:fullRef>
                        <c15:formulaRef>
                          <c15:sqref>Hoja3!$E$26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0.75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5E9-4F4C-85B6-D3C839ACCB9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Hoja3!$B$28</c15:sqref>
                        </c15:formulaRef>
                      </c:ext>
                    </c:extLst>
                    <c:strCache>
                      <c:ptCount val="1"/>
                      <c:pt idx="0">
                        <c:v>H2 (4€)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Hoja3!$E$21</c15:sqref>
                        </c15:formulaRef>
                      </c:ext>
                    </c:extLst>
                    <c:strCache>
                      <c:ptCount val="1"/>
                      <c:pt idx="0">
                        <c:v>300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Hoja3!$C$28:$P$28</c15:sqref>
                        </c15:fullRef>
                        <c15:formulaRef>
                          <c15:sqref>Hoja3!$E$28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5E9-4F4C-85B6-D3C839ACCB9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Hoja3!$B$30</c15:sqref>
                        </c15:formulaRef>
                      </c:ext>
                    </c:extLst>
                    <c:strCache>
                      <c:ptCount val="1"/>
                      <c:pt idx="0">
                        <c:v>H2 (2€)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Hoja3!$E$21</c15:sqref>
                        </c15:formulaRef>
                      </c:ext>
                    </c:extLst>
                    <c:strCache>
                      <c:ptCount val="1"/>
                      <c:pt idx="0">
                        <c:v>300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Hoja3!$C$30:$P$30</c15:sqref>
                        </c15:fullRef>
                        <c15:formulaRef>
                          <c15:sqref>Hoja3!$E$30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5E9-4F4C-85B6-D3C839ACCB95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Hoja3!$B$31</c15:sqref>
                        </c15:formulaRef>
                      </c:ext>
                    </c:extLst>
                    <c:strCache>
                      <c:ptCount val="1"/>
                      <c:pt idx="0">
                        <c:v>H2 (1€)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Hoja3!$E$21</c15:sqref>
                        </c15:formulaRef>
                      </c:ext>
                    </c:extLst>
                    <c:strCache>
                      <c:ptCount val="1"/>
                      <c:pt idx="0">
                        <c:v>300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Hoja3!$C$31:$P$31</c15:sqref>
                        </c15:fullRef>
                        <c15:formulaRef>
                          <c15:sqref>Hoja3!$E$31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0.41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5E9-4F4C-85B6-D3C839ACCB95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Hoja3!$B$33</c15:sqref>
                        </c15:formulaRef>
                      </c:ext>
                    </c:extLst>
                    <c:strCache>
                      <c:ptCount val="1"/>
                      <c:pt idx="0">
                        <c:v>GASOIL (0,8 €)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Hoja3!$E$21</c15:sqref>
                        </c15:formulaRef>
                      </c:ext>
                    </c:extLst>
                    <c:strCache>
                      <c:ptCount val="1"/>
                      <c:pt idx="0">
                        <c:v>300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Hoja3!$C$33:$P$33</c15:sqref>
                        </c15:fullRef>
                        <c15:formulaRef>
                          <c15:sqref>Hoja3!$E$33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5E9-4F4C-85B6-D3C839ACCB95}"/>
                  </c:ext>
                </c:extLst>
              </c15:ser>
            </c15:filteredBarSeries>
          </c:ext>
        </c:extLst>
      </c:barChart>
      <c:catAx>
        <c:axId val="205130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289183"/>
        <c:crosses val="autoZero"/>
        <c:auto val="1"/>
        <c:lblAlgn val="ctr"/>
        <c:lblOffset val="100"/>
        <c:noMultiLvlLbl val="0"/>
      </c:catAx>
      <c:valAx>
        <c:axId val="20512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30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OPERATIVA</a:t>
            </a:r>
            <a:r>
              <a:rPr lang="es-ES" baseline="0"/>
              <a:t> 400 KMS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Hoja3!$B$27</c:f>
              <c:strCache>
                <c:ptCount val="1"/>
                <c:pt idx="0">
                  <c:v>H2 (5€)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Hoja3!$F$21</c:f>
              <c:strCache>
                <c:ptCount val="1"/>
                <c:pt idx="0">
                  <c:v>400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Hoja3!$C$27:$P$27</c15:sqref>
                  </c15:fullRef>
                </c:ext>
              </c:extLst>
              <c:f>Hoja3!$F$27</c:f>
              <c:numCache>
                <c:formatCode>0%</c:formatCode>
                <c:ptCount val="1"/>
                <c:pt idx="0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F-4800-81B6-BABFBCD97BA9}"/>
            </c:ext>
          </c:extLst>
        </c:ser>
        <c:ser>
          <c:idx val="7"/>
          <c:order val="7"/>
          <c:tx>
            <c:strRef>
              <c:f>Hoja3!$B$29</c:f>
              <c:strCache>
                <c:ptCount val="1"/>
                <c:pt idx="0">
                  <c:v>H2 (3€)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Hoja3!$F$21</c:f>
              <c:strCache>
                <c:ptCount val="1"/>
                <c:pt idx="0">
                  <c:v>400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Hoja3!$C$29:$P$29</c15:sqref>
                  </c15:fullRef>
                </c:ext>
              </c:extLst>
              <c:f>Hoja3!$F$29</c:f>
              <c:numCache>
                <c:formatCode>0%</c:formatCode>
                <c:ptCount val="1"/>
                <c:pt idx="0">
                  <c:v>0.51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DE9F-4800-81B6-BABFBCD97BA9}"/>
            </c:ext>
          </c:extLst>
        </c:ser>
        <c:ser>
          <c:idx val="10"/>
          <c:order val="10"/>
          <c:tx>
            <c:strRef>
              <c:f>Hoja3!$B$32</c:f>
              <c:strCache>
                <c:ptCount val="1"/>
                <c:pt idx="0">
                  <c:v>GAS NATURAL  (0,6 €)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Hoja3!$F$21</c:f>
              <c:strCache>
                <c:ptCount val="1"/>
                <c:pt idx="0">
                  <c:v>400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Hoja3!$C$32:$P$32</c15:sqref>
                  </c15:fullRef>
                </c:ext>
              </c:extLst>
              <c:f>Hoja3!$F$32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9F-4800-81B6-BABFBCD97BA9}"/>
            </c:ext>
          </c:extLst>
        </c:ser>
        <c:ser>
          <c:idx val="12"/>
          <c:order val="12"/>
          <c:tx>
            <c:strRef>
              <c:f>Hoja3!$B$34</c:f>
              <c:strCache>
                <c:ptCount val="1"/>
                <c:pt idx="0">
                  <c:v>BIOMETANO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Hoja3!$F$21</c:f>
              <c:strCache>
                <c:ptCount val="1"/>
                <c:pt idx="0">
                  <c:v>400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Hoja3!$C$34:$P$34</c15:sqref>
                  </c15:fullRef>
                </c:ext>
              </c:extLst>
              <c:f>Hoja3!$F$34</c:f>
              <c:numCache>
                <c:formatCode>0%</c:formatCode>
                <c:ptCount val="1"/>
                <c:pt idx="0">
                  <c:v>0.17171717171717171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9F-4800-81B6-BABFBCD97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309567"/>
        <c:axId val="20512891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Hoja3!$B$22</c15:sqref>
                        </c15:formulaRef>
                      </c:ext>
                    </c:extLst>
                    <c:strCache>
                      <c:ptCount val="1"/>
                      <c:pt idx="0">
                        <c:v>H2 (10€)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Hoja3!$C$21:$P$21</c15:sqref>
                        </c15:fullRef>
                        <c15:formulaRef>
                          <c15:sqref>Hoja3!$F$21</c15:sqref>
                        </c15:formulaRef>
                      </c:ext>
                    </c:extLst>
                    <c:strCache>
                      <c:ptCount val="1"/>
                      <c:pt idx="0">
                        <c:v>400 kms/day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Hoja3!$C$22:$P$22</c15:sqref>
                        </c15:fullRef>
                        <c15:formulaRef>
                          <c15:sqref>Hoja3!$F$22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1.0900000000000001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DE9F-4800-81B6-BABFBCD97BA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Hoja3!$B$23</c15:sqref>
                        </c15:formulaRef>
                      </c:ext>
                    </c:extLst>
                    <c:strCache>
                      <c:ptCount val="1"/>
                      <c:pt idx="0">
                        <c:v>H2 (9€)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Hoja3!$F$21</c15:sqref>
                        </c15:formulaRef>
                      </c:ext>
                    </c:extLst>
                    <c:strCache>
                      <c:ptCount val="1"/>
                      <c:pt idx="0">
                        <c:v>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Hoja3!$C$23:$P$23</c15:sqref>
                        </c15:fullRef>
                        <c15:formulaRef>
                          <c15:sqref>Hoja3!$F$23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E9F-4800-81B6-BABFBCD97BA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Hoja3!$B$24</c15:sqref>
                        </c15:formulaRef>
                      </c:ext>
                    </c:extLst>
                    <c:strCache>
                      <c:ptCount val="1"/>
                      <c:pt idx="0">
                        <c:v>H2 (8€)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Hoja3!$F$21</c15:sqref>
                        </c15:formulaRef>
                      </c:ext>
                    </c:extLst>
                    <c:strCache>
                      <c:ptCount val="1"/>
                      <c:pt idx="0">
                        <c:v>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Hoja3!$C$24:$P$24</c15:sqref>
                        </c15:fullRef>
                        <c15:formulaRef>
                          <c15:sqref>Hoja3!$F$24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E9F-4800-81B6-BABFBCD97BA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Hoja3!$B$25</c15:sqref>
                        </c15:formulaRef>
                      </c:ext>
                    </c:extLst>
                    <c:strCache>
                      <c:ptCount val="1"/>
                      <c:pt idx="0">
                        <c:v>H2 (7€)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Hoja3!$F$21</c15:sqref>
                        </c15:formulaRef>
                      </c:ext>
                    </c:extLst>
                    <c:strCache>
                      <c:ptCount val="1"/>
                      <c:pt idx="0">
                        <c:v>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Hoja3!$C$25:$P$25</c15:sqref>
                        </c15:fullRef>
                        <c15:formulaRef>
                          <c15:sqref>Hoja3!$F$25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0.84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E9F-4800-81B6-BABFBCD97BA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Hoja3!$B$26</c15:sqref>
                        </c15:formulaRef>
                      </c:ext>
                    </c:extLst>
                    <c:strCache>
                      <c:ptCount val="1"/>
                      <c:pt idx="0">
                        <c:v>H2 (6€)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Hoja3!$F$21</c15:sqref>
                        </c15:formulaRef>
                      </c:ext>
                    </c:extLst>
                    <c:strCache>
                      <c:ptCount val="1"/>
                      <c:pt idx="0">
                        <c:v>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Hoja3!$C$26:$P$26</c15:sqref>
                        </c15:fullRef>
                        <c15:formulaRef>
                          <c15:sqref>Hoja3!$F$26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0.76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E9F-4800-81B6-BABFBCD97BA9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Hoja3!$B$28</c15:sqref>
                        </c15:formulaRef>
                      </c:ext>
                    </c:extLst>
                    <c:strCache>
                      <c:ptCount val="1"/>
                      <c:pt idx="0">
                        <c:v>H2 (4€)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Hoja3!$F$21</c15:sqref>
                        </c15:formulaRef>
                      </c:ext>
                    </c:extLst>
                    <c:strCache>
                      <c:ptCount val="1"/>
                      <c:pt idx="0">
                        <c:v>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Hoja3!$C$28:$P$28</c15:sqref>
                        </c15:fullRef>
                        <c15:formulaRef>
                          <c15:sqref>Hoja3!$F$28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E9F-4800-81B6-BABFBCD97BA9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Hoja3!$B$30</c15:sqref>
                        </c15:formulaRef>
                      </c:ext>
                    </c:extLst>
                    <c:strCache>
                      <c:ptCount val="1"/>
                      <c:pt idx="0">
                        <c:v>H2 (2€)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Hoja3!$F$21</c15:sqref>
                        </c15:formulaRef>
                      </c:ext>
                    </c:extLst>
                    <c:strCache>
                      <c:ptCount val="1"/>
                      <c:pt idx="0">
                        <c:v>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Hoja3!$C$30:$P$30</c15:sqref>
                        </c15:fullRef>
                        <c15:formulaRef>
                          <c15:sqref>Hoja3!$F$30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E9F-4800-81B6-BABFBCD97BA9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Hoja3!$B$31</c15:sqref>
                        </c15:formulaRef>
                      </c:ext>
                    </c:extLst>
                    <c:strCache>
                      <c:ptCount val="1"/>
                      <c:pt idx="0">
                        <c:v>H2 (1€)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Hoja3!$F$21</c15:sqref>
                        </c15:formulaRef>
                      </c:ext>
                    </c:extLst>
                    <c:strCache>
                      <c:ptCount val="1"/>
                      <c:pt idx="0">
                        <c:v>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Hoja3!$C$31:$P$31</c15:sqref>
                        </c15:fullRef>
                        <c15:formulaRef>
                          <c15:sqref>Hoja3!$F$31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E9F-4800-81B6-BABFBCD97BA9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Hoja3!$B$33</c15:sqref>
                        </c15:formulaRef>
                      </c:ext>
                    </c:extLst>
                    <c:strCache>
                      <c:ptCount val="1"/>
                      <c:pt idx="0">
                        <c:v>GASOIL (0,8 €)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Hoja3!$F$21</c15:sqref>
                        </c15:formulaRef>
                      </c:ext>
                    </c:extLst>
                    <c:strCache>
                      <c:ptCount val="1"/>
                      <c:pt idx="0">
                        <c:v>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Hoja3!$C$33:$P$33</c15:sqref>
                        </c15:fullRef>
                        <c15:formulaRef>
                          <c15:sqref>Hoja3!$F$33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E9F-4800-81B6-BABFBCD97BA9}"/>
                  </c:ext>
                </c:extLst>
              </c15:ser>
            </c15:filteredBarSeries>
          </c:ext>
        </c:extLst>
      </c:barChart>
      <c:catAx>
        <c:axId val="205130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289183"/>
        <c:crosses val="autoZero"/>
        <c:auto val="1"/>
        <c:lblAlgn val="ctr"/>
        <c:lblOffset val="100"/>
        <c:noMultiLvlLbl val="0"/>
      </c:catAx>
      <c:valAx>
        <c:axId val="20512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30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OPERATIVA</a:t>
            </a:r>
            <a:r>
              <a:rPr lang="es-ES" baseline="0"/>
              <a:t> 500 KMS</a:t>
            </a:r>
            <a:endParaRPr lang="es-ES"/>
          </a:p>
        </c:rich>
      </c:tx>
      <c:layout>
        <c:manualLayout>
          <c:xMode val="edge"/>
          <c:yMode val="edge"/>
          <c:x val="0.37250388802488327"/>
          <c:y val="2.6872157561827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Hoja3!$B$27</c:f>
              <c:strCache>
                <c:ptCount val="1"/>
                <c:pt idx="0">
                  <c:v>H2 (5€)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Hoja3!$G$21</c:f>
              <c:strCache>
                <c:ptCount val="1"/>
                <c:pt idx="0">
                  <c:v>500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Hoja3!$C$27:$P$27</c15:sqref>
                  </c15:fullRef>
                </c:ext>
              </c:extLst>
              <c:f>Hoja3!$G$27</c:f>
              <c:numCache>
                <c:formatCode>0%</c:formatCode>
                <c:ptCount val="1"/>
                <c:pt idx="0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A-43E2-8FFA-6744874E7000}"/>
            </c:ext>
          </c:extLst>
        </c:ser>
        <c:ser>
          <c:idx val="7"/>
          <c:order val="7"/>
          <c:tx>
            <c:strRef>
              <c:f>Hoja3!$B$29</c:f>
              <c:strCache>
                <c:ptCount val="1"/>
                <c:pt idx="0">
                  <c:v>H2 (3€)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Hoja3!$G$21</c:f>
              <c:strCache>
                <c:ptCount val="1"/>
                <c:pt idx="0">
                  <c:v>500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Hoja3!$C$29:$P$29</c15:sqref>
                  </c15:fullRef>
                </c:ext>
              </c:extLst>
              <c:f>Hoja3!$G$29</c:f>
              <c:numCache>
                <c:formatCode>0%</c:formatCode>
                <c:ptCount val="1"/>
                <c:pt idx="0">
                  <c:v>0.47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76EA-43E2-8FFA-6744874E7000}"/>
            </c:ext>
          </c:extLst>
        </c:ser>
        <c:ser>
          <c:idx val="10"/>
          <c:order val="10"/>
          <c:tx>
            <c:strRef>
              <c:f>Hoja3!$B$32</c:f>
              <c:strCache>
                <c:ptCount val="1"/>
                <c:pt idx="0">
                  <c:v>GAS NATURAL  (0,6 €)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Hoja3!$G$21</c:f>
              <c:strCache>
                <c:ptCount val="1"/>
                <c:pt idx="0">
                  <c:v>500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Hoja3!$C$32:$P$32</c15:sqref>
                  </c15:fullRef>
                </c:ext>
              </c:extLst>
              <c:f>Hoja3!$G$32</c:f>
              <c:numCache>
                <c:formatCode>0%</c:formatCode>
                <c:ptCount val="1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EA-43E2-8FFA-6744874E7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309567"/>
        <c:axId val="20512891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Hoja3!$B$22</c15:sqref>
                        </c15:formulaRef>
                      </c:ext>
                    </c:extLst>
                    <c:strCache>
                      <c:ptCount val="1"/>
                      <c:pt idx="0">
                        <c:v>H2 (10€)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Hoja3!$C$21:$P$21</c15:sqref>
                        </c15:fullRef>
                        <c15:formulaRef>
                          <c15:sqref>Hoja3!$G$21</c15:sqref>
                        </c15:formulaRef>
                      </c:ext>
                    </c:extLst>
                    <c:strCache>
                      <c:ptCount val="1"/>
                      <c:pt idx="0">
                        <c:v>500 kms/day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Hoja3!$C$22:$P$22</c15:sqref>
                        </c15:fullRef>
                        <c15:formulaRef>
                          <c15:sqref>Hoja3!$G$22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1.1599999999999999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76EA-43E2-8FFA-6744874E700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Hoja3!$B$23</c15:sqref>
                        </c15:formulaRef>
                      </c:ext>
                    </c:extLst>
                    <c:strCache>
                      <c:ptCount val="1"/>
                      <c:pt idx="0">
                        <c:v>H2 (9€)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Hoja3!$G$21</c15:sqref>
                        </c15:formulaRef>
                      </c:ext>
                    </c:extLst>
                    <c:strCache>
                      <c:ptCount val="1"/>
                      <c:pt idx="0">
                        <c:v>500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Hoja3!$C$23:$P$23</c15:sqref>
                        </c15:fullRef>
                        <c15:formulaRef>
                          <c15:sqref>Hoja3!$G$23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6EA-43E2-8FFA-6744874E700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Hoja3!$B$24</c15:sqref>
                        </c15:formulaRef>
                      </c:ext>
                    </c:extLst>
                    <c:strCache>
                      <c:ptCount val="1"/>
                      <c:pt idx="0">
                        <c:v>H2 (8€)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Hoja3!$G$21</c15:sqref>
                        </c15:formulaRef>
                      </c:ext>
                    </c:extLst>
                    <c:strCache>
                      <c:ptCount val="1"/>
                      <c:pt idx="0">
                        <c:v>500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Hoja3!$C$24:$P$24</c15:sqref>
                        </c15:fullRef>
                        <c15:formulaRef>
                          <c15:sqref>Hoja3!$G$24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6EA-43E2-8FFA-6744874E700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Hoja3!$B$25</c15:sqref>
                        </c15:formulaRef>
                      </c:ext>
                    </c:extLst>
                    <c:strCache>
                      <c:ptCount val="1"/>
                      <c:pt idx="0">
                        <c:v>H2 (7€)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Hoja3!$G$21</c15:sqref>
                        </c15:formulaRef>
                      </c:ext>
                    </c:extLst>
                    <c:strCache>
                      <c:ptCount val="1"/>
                      <c:pt idx="0">
                        <c:v>500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Hoja3!$C$25:$P$25</c15:sqref>
                        </c15:fullRef>
                        <c15:formulaRef>
                          <c15:sqref>Hoja3!$G$25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6EA-43E2-8FFA-6744874E700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Hoja3!$B$26</c15:sqref>
                        </c15:formulaRef>
                      </c:ext>
                    </c:extLst>
                    <c:strCache>
                      <c:ptCount val="1"/>
                      <c:pt idx="0">
                        <c:v>H2 (6€)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Hoja3!$G$21</c15:sqref>
                        </c15:formulaRef>
                      </c:ext>
                    </c:extLst>
                    <c:strCache>
                      <c:ptCount val="1"/>
                      <c:pt idx="0">
                        <c:v>500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Hoja3!$C$26:$P$26</c15:sqref>
                        </c15:fullRef>
                        <c15:formulaRef>
                          <c15:sqref>Hoja3!$G$26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0.76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6EA-43E2-8FFA-6744874E700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Hoja3!$B$28</c15:sqref>
                        </c15:formulaRef>
                      </c:ext>
                    </c:extLst>
                    <c:strCache>
                      <c:ptCount val="1"/>
                      <c:pt idx="0">
                        <c:v>H2 (4€)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Hoja3!$G$21</c15:sqref>
                        </c15:formulaRef>
                      </c:ext>
                    </c:extLst>
                    <c:strCache>
                      <c:ptCount val="1"/>
                      <c:pt idx="0">
                        <c:v>500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Hoja3!$C$28:$P$28</c15:sqref>
                        </c15:fullRef>
                        <c15:formulaRef>
                          <c15:sqref>Hoja3!$G$28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0.56999999999999995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6EA-43E2-8FFA-6744874E700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Hoja3!$B$30</c15:sqref>
                        </c15:formulaRef>
                      </c:ext>
                    </c:extLst>
                    <c:strCache>
                      <c:ptCount val="1"/>
                      <c:pt idx="0">
                        <c:v>H2 (2€)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Hoja3!$G$21</c15:sqref>
                        </c15:formulaRef>
                      </c:ext>
                    </c:extLst>
                    <c:strCache>
                      <c:ptCount val="1"/>
                      <c:pt idx="0">
                        <c:v>500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Hoja3!$C$30:$P$30</c15:sqref>
                        </c15:fullRef>
                        <c15:formulaRef>
                          <c15:sqref>Hoja3!$G$30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6EA-43E2-8FFA-6744874E7000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Hoja3!$B$31</c15:sqref>
                        </c15:formulaRef>
                      </c:ext>
                    </c:extLst>
                    <c:strCache>
                      <c:ptCount val="1"/>
                      <c:pt idx="0">
                        <c:v>H2 (1€)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Hoja3!$G$21</c15:sqref>
                        </c15:formulaRef>
                      </c:ext>
                    </c:extLst>
                    <c:strCache>
                      <c:ptCount val="1"/>
                      <c:pt idx="0">
                        <c:v>500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Hoja3!$C$31:$P$31</c15:sqref>
                        </c15:fullRef>
                        <c15:formulaRef>
                          <c15:sqref>Hoja3!$G$31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0.28000000000000003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6EA-43E2-8FFA-6744874E7000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Hoja3!$B$33</c15:sqref>
                        </c15:formulaRef>
                      </c:ext>
                    </c:extLst>
                    <c:strCache>
                      <c:ptCount val="1"/>
                      <c:pt idx="0">
                        <c:v>GASOIL (0,8 €)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Hoja3!$G$21</c15:sqref>
                        </c15:formulaRef>
                      </c:ext>
                    </c:extLst>
                    <c:strCache>
                      <c:ptCount val="1"/>
                      <c:pt idx="0">
                        <c:v>500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Hoja3!$C$33:$P$33</c15:sqref>
                        </c15:fullRef>
                        <c15:formulaRef>
                          <c15:sqref>Hoja3!$G$33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6EA-43E2-8FFA-6744874E7000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Hoja3!$B$34</c15:sqref>
                        </c15:formulaRef>
                      </c:ext>
                    </c:extLst>
                    <c:strCache>
                      <c:ptCount val="1"/>
                      <c:pt idx="0">
                        <c:v>BIOMETANO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Hoja3!$G$21</c15:sqref>
                        </c15:formulaRef>
                      </c:ext>
                    </c:extLst>
                    <c:strCache>
                      <c:ptCount val="1"/>
                      <c:pt idx="0">
                        <c:v>500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Hoja3!$C$34:$P$34</c15:sqref>
                        </c15:fullRef>
                        <c15:formulaRef>
                          <c15:sqref>Hoja3!$G$34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0.16470588235294126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6EA-43E2-8FFA-6744874E7000}"/>
                  </c:ext>
                </c:extLst>
              </c15:ser>
            </c15:filteredBarSeries>
          </c:ext>
        </c:extLst>
      </c:barChart>
      <c:catAx>
        <c:axId val="205130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289183"/>
        <c:crosses val="autoZero"/>
        <c:auto val="1"/>
        <c:lblAlgn val="ctr"/>
        <c:lblOffset val="100"/>
        <c:noMultiLvlLbl val="0"/>
      </c:catAx>
      <c:valAx>
        <c:axId val="20512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30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OPERATIVA</a:t>
            </a:r>
            <a:r>
              <a:rPr lang="es-ES" baseline="0"/>
              <a:t> 600 KMS</a:t>
            </a:r>
            <a:endParaRPr lang="es-ES"/>
          </a:p>
        </c:rich>
      </c:tx>
      <c:layout>
        <c:manualLayout>
          <c:xMode val="edge"/>
          <c:yMode val="edge"/>
          <c:x val="0.37250388802488327"/>
          <c:y val="2.6872157561827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Hoja3!$B$27</c:f>
              <c:strCache>
                <c:ptCount val="1"/>
                <c:pt idx="0">
                  <c:v>H2 (5€)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Hoja3!$H$21</c:f>
              <c:strCache>
                <c:ptCount val="1"/>
                <c:pt idx="0">
                  <c:v>600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Hoja3!$C$27:$P$27</c15:sqref>
                  </c15:fullRef>
                </c:ext>
              </c:extLst>
              <c:f>Hoja3!$H$27</c:f>
              <c:numCache>
                <c:formatCode>0%</c:formatCode>
                <c:ptCount val="1"/>
                <c:pt idx="0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B-4466-9A6F-7CC459AAE06C}"/>
            </c:ext>
          </c:extLst>
        </c:ser>
        <c:ser>
          <c:idx val="7"/>
          <c:order val="7"/>
          <c:tx>
            <c:strRef>
              <c:f>Hoja3!$B$29</c:f>
              <c:strCache>
                <c:ptCount val="1"/>
                <c:pt idx="0">
                  <c:v>H2 (3€)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Hoja3!$H$21</c:f>
              <c:strCache>
                <c:ptCount val="1"/>
                <c:pt idx="0">
                  <c:v>600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Hoja3!$C$29:$P$29</c15:sqref>
                  </c15:fullRef>
                </c:ext>
              </c:extLst>
              <c:f>Hoja3!$H$29</c:f>
              <c:numCache>
                <c:formatCode>0%</c:formatCode>
                <c:ptCount val="1"/>
                <c:pt idx="0">
                  <c:v>0.44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9D5B-4466-9A6F-7CC459AAE06C}"/>
            </c:ext>
          </c:extLst>
        </c:ser>
        <c:ser>
          <c:idx val="10"/>
          <c:order val="10"/>
          <c:tx>
            <c:strRef>
              <c:f>Hoja3!$B$32</c:f>
              <c:strCache>
                <c:ptCount val="1"/>
                <c:pt idx="0">
                  <c:v>GAS NATURAL  (0,6 €)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Hoja3!$H$21</c:f>
              <c:strCache>
                <c:ptCount val="1"/>
                <c:pt idx="0">
                  <c:v>600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Hoja3!$C$32:$P$32</c15:sqref>
                  </c15:fullRef>
                </c:ext>
              </c:extLst>
              <c:f>Hoja3!$H$32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5B-4466-9A6F-7CC459AAE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309567"/>
        <c:axId val="20512891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Hoja3!$B$22</c15:sqref>
                        </c15:formulaRef>
                      </c:ext>
                    </c:extLst>
                    <c:strCache>
                      <c:ptCount val="1"/>
                      <c:pt idx="0">
                        <c:v>H2 (10€)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Hoja3!$C$21:$P$21</c15:sqref>
                        </c15:fullRef>
                        <c15:formulaRef>
                          <c15:sqref>Hoja3!$H$21</c15:sqref>
                        </c15:formulaRef>
                      </c:ext>
                    </c:extLst>
                    <c:strCache>
                      <c:ptCount val="1"/>
                      <c:pt idx="0">
                        <c:v>600 kms/day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Hoja3!$C$22:$P$22</c15:sqref>
                        </c15:fullRef>
                        <c15:formulaRef>
                          <c15:sqref>Hoja3!$H$22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9D5B-4466-9A6F-7CC459AAE06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Hoja3!$B$23</c15:sqref>
                        </c15:formulaRef>
                      </c:ext>
                    </c:extLst>
                    <c:strCache>
                      <c:ptCount val="1"/>
                      <c:pt idx="0">
                        <c:v>H2 (9€)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Hoja3!$H$21</c15:sqref>
                        </c15:formulaRef>
                      </c:ext>
                    </c:extLst>
                    <c:strCache>
                      <c:ptCount val="1"/>
                      <c:pt idx="0">
                        <c:v>600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Hoja3!$C$23:$P$23</c15:sqref>
                        </c15:fullRef>
                        <c15:formulaRef>
                          <c15:sqref>Hoja3!$H$23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1.1000000000000001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D5B-4466-9A6F-7CC459AAE06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Hoja3!$B$24</c15:sqref>
                        </c15:formulaRef>
                      </c:ext>
                    </c:extLst>
                    <c:strCache>
                      <c:ptCount val="1"/>
                      <c:pt idx="0">
                        <c:v>H2 (8€)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Hoja3!$H$21</c15:sqref>
                        </c15:formulaRef>
                      </c:ext>
                    </c:extLst>
                    <c:strCache>
                      <c:ptCount val="1"/>
                      <c:pt idx="0">
                        <c:v>600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Hoja3!$C$24:$P$24</c15:sqref>
                        </c15:fullRef>
                        <c15:formulaRef>
                          <c15:sqref>Hoja3!$H$24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D5B-4466-9A6F-7CC459AAE06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Hoja3!$B$25</c15:sqref>
                        </c15:formulaRef>
                      </c:ext>
                    </c:extLst>
                    <c:strCache>
                      <c:ptCount val="1"/>
                      <c:pt idx="0">
                        <c:v>H2 (7€)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Hoja3!$H$21</c15:sqref>
                        </c15:formulaRef>
                      </c:ext>
                    </c:extLst>
                    <c:strCache>
                      <c:ptCount val="1"/>
                      <c:pt idx="0">
                        <c:v>600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Hoja3!$C$25:$P$25</c15:sqref>
                        </c15:fullRef>
                        <c15:formulaRef>
                          <c15:sqref>Hoja3!$H$25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0.88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D5B-4466-9A6F-7CC459AAE06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Hoja3!$B$26</c15:sqref>
                        </c15:formulaRef>
                      </c:ext>
                    </c:extLst>
                    <c:strCache>
                      <c:ptCount val="1"/>
                      <c:pt idx="0">
                        <c:v>H2 (6€)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Hoja3!$H$21</c15:sqref>
                        </c15:formulaRef>
                      </c:ext>
                    </c:extLst>
                    <c:strCache>
                      <c:ptCount val="1"/>
                      <c:pt idx="0">
                        <c:v>600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Hoja3!$C$26:$P$26</c15:sqref>
                        </c15:fullRef>
                        <c15:formulaRef>
                          <c15:sqref>Hoja3!$H$26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D5B-4466-9A6F-7CC459AAE06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Hoja3!$B$28</c15:sqref>
                        </c15:formulaRef>
                      </c:ext>
                    </c:extLst>
                    <c:strCache>
                      <c:ptCount val="1"/>
                      <c:pt idx="0">
                        <c:v>H2 (4€)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Hoja3!$H$21</c15:sqref>
                        </c15:formulaRef>
                      </c:ext>
                    </c:extLst>
                    <c:strCache>
                      <c:ptCount val="1"/>
                      <c:pt idx="0">
                        <c:v>600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Hoja3!$C$28:$P$28</c15:sqref>
                        </c15:fullRef>
                        <c15:formulaRef>
                          <c15:sqref>Hoja3!$H$28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0.55000000000000004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D5B-4466-9A6F-7CC459AAE06C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Hoja3!$B$30</c15:sqref>
                        </c15:formulaRef>
                      </c:ext>
                    </c:extLst>
                    <c:strCache>
                      <c:ptCount val="1"/>
                      <c:pt idx="0">
                        <c:v>H2 (2€)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Hoja3!$H$21</c15:sqref>
                        </c15:formulaRef>
                      </c:ext>
                    </c:extLst>
                    <c:strCache>
                      <c:ptCount val="1"/>
                      <c:pt idx="0">
                        <c:v>600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Hoja3!$C$30:$P$30</c15:sqref>
                        </c15:fullRef>
                        <c15:formulaRef>
                          <c15:sqref>Hoja3!$H$30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D5B-4466-9A6F-7CC459AAE06C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Hoja3!$B$31</c15:sqref>
                        </c15:formulaRef>
                      </c:ext>
                    </c:extLst>
                    <c:strCache>
                      <c:ptCount val="1"/>
                      <c:pt idx="0">
                        <c:v>H2 (1€)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Hoja3!$H$21</c15:sqref>
                        </c15:formulaRef>
                      </c:ext>
                    </c:extLst>
                    <c:strCache>
                      <c:ptCount val="1"/>
                      <c:pt idx="0">
                        <c:v>600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Hoja3!$C$31:$P$31</c15:sqref>
                        </c15:fullRef>
                        <c15:formulaRef>
                          <c15:sqref>Hoja3!$H$31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D5B-4466-9A6F-7CC459AAE06C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Hoja3!$B$33</c15:sqref>
                        </c15:formulaRef>
                      </c:ext>
                    </c:extLst>
                    <c:strCache>
                      <c:ptCount val="1"/>
                      <c:pt idx="0">
                        <c:v>GASOIL (0,8 €)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Hoja3!$H$21</c15:sqref>
                        </c15:formulaRef>
                      </c:ext>
                    </c:extLst>
                    <c:strCache>
                      <c:ptCount val="1"/>
                      <c:pt idx="0">
                        <c:v>600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Hoja3!$C$33:$P$33</c15:sqref>
                        </c15:fullRef>
                        <c15:formulaRef>
                          <c15:sqref>Hoja3!$H$33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D5B-4466-9A6F-7CC459AAE06C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Hoja3!$B$34</c15:sqref>
                        </c15:formulaRef>
                      </c:ext>
                    </c:extLst>
                    <c:strCache>
                      <c:ptCount val="1"/>
                      <c:pt idx="0">
                        <c:v>BIOMETANO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Hoja3!$H$21</c15:sqref>
                        </c15:formulaRef>
                      </c:ext>
                    </c:extLst>
                    <c:strCache>
                      <c:ptCount val="1"/>
                      <c:pt idx="0">
                        <c:v>600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Hoja3!$C$34:$P$34</c15:sqref>
                        </c15:fullRef>
                        <c15:formulaRef>
                          <c15:sqref>Hoja3!$H$34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0.15789473684210531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D5B-4466-9A6F-7CC459AAE06C}"/>
                  </c:ext>
                </c:extLst>
              </c15:ser>
            </c15:filteredBarSeries>
          </c:ext>
        </c:extLst>
      </c:barChart>
      <c:catAx>
        <c:axId val="205130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289183"/>
        <c:crosses val="autoZero"/>
        <c:auto val="1"/>
        <c:lblAlgn val="ctr"/>
        <c:lblOffset val="100"/>
        <c:noMultiLvlLbl val="0"/>
      </c:catAx>
      <c:valAx>
        <c:axId val="20512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30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OPERATIVA</a:t>
            </a:r>
            <a:r>
              <a:rPr lang="es-ES" baseline="0"/>
              <a:t> 700 KMS</a:t>
            </a:r>
            <a:endParaRPr lang="es-ES"/>
          </a:p>
        </c:rich>
      </c:tx>
      <c:layout>
        <c:manualLayout>
          <c:xMode val="edge"/>
          <c:yMode val="edge"/>
          <c:x val="0.37250388802488327"/>
          <c:y val="2.6872157561827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Hoja3!$B$27</c:f>
              <c:strCache>
                <c:ptCount val="1"/>
                <c:pt idx="0">
                  <c:v>H2 (5€)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Hoja3!$I$21</c:f>
              <c:strCache>
                <c:ptCount val="1"/>
                <c:pt idx="0">
                  <c:v>700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Hoja3!$C$27:$P$27</c15:sqref>
                  </c15:fullRef>
                </c:ext>
              </c:extLst>
              <c:f>Hoja3!$I$27</c:f>
              <c:numCache>
                <c:formatCode>0%</c:formatCode>
                <c:ptCount val="1"/>
                <c:pt idx="0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5-489D-9551-BE34BAE2C1F8}"/>
            </c:ext>
          </c:extLst>
        </c:ser>
        <c:ser>
          <c:idx val="7"/>
          <c:order val="7"/>
          <c:tx>
            <c:strRef>
              <c:f>Hoja3!$B$29</c:f>
              <c:strCache>
                <c:ptCount val="1"/>
                <c:pt idx="0">
                  <c:v>H2 (3€)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Hoja3!$I$21</c:f>
              <c:strCache>
                <c:ptCount val="1"/>
                <c:pt idx="0">
                  <c:v>700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Hoja3!$C$29:$P$29</c15:sqref>
                  </c15:fullRef>
                </c:ext>
              </c:extLst>
              <c:f>Hoja3!$I$29</c:f>
              <c:numCache>
                <c:formatCode>0%</c:formatCode>
                <c:ptCount val="1"/>
                <c:pt idx="0">
                  <c:v>0.41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51F5-489D-9551-BE34BAE2C1F8}"/>
            </c:ext>
          </c:extLst>
        </c:ser>
        <c:ser>
          <c:idx val="10"/>
          <c:order val="10"/>
          <c:tx>
            <c:strRef>
              <c:f>Hoja3!$B$32</c:f>
              <c:strCache>
                <c:ptCount val="1"/>
                <c:pt idx="0">
                  <c:v>GAS NATURAL  (0,6 €)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Hoja3!$I$21</c:f>
              <c:strCache>
                <c:ptCount val="1"/>
                <c:pt idx="0">
                  <c:v>700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Hoja3!$C$32:$P$32</c15:sqref>
                  </c15:fullRef>
                </c:ext>
              </c:extLst>
              <c:f>Hoja3!$I$32</c:f>
              <c:numCache>
                <c:formatCode>0%</c:formatCode>
                <c:ptCount val="1"/>
                <c:pt idx="0">
                  <c:v>-0.02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F5-489D-9551-BE34BAE2C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309567"/>
        <c:axId val="20512891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Hoja3!$B$22</c15:sqref>
                        </c15:formulaRef>
                      </c:ext>
                    </c:extLst>
                    <c:strCache>
                      <c:ptCount val="1"/>
                      <c:pt idx="0">
                        <c:v>H2 (10€)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Hoja3!$C$21:$P$21</c15:sqref>
                        </c15:fullRef>
                        <c15:formulaRef>
                          <c15:sqref>Hoja3!$I$21</c15:sqref>
                        </c15:formulaRef>
                      </c:ext>
                    </c:extLst>
                    <c:strCache>
                      <c:ptCount val="1"/>
                      <c:pt idx="0">
                        <c:v>700 kms/day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Hoja3!$C$22:$P$22</c15:sqref>
                        </c15:fullRef>
                        <c15:formulaRef>
                          <c15:sqref>Hoja3!$I$22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1.26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51F5-489D-9551-BE34BAE2C1F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Hoja3!$B$23</c15:sqref>
                        </c15:formulaRef>
                      </c:ext>
                    </c:extLst>
                    <c:strCache>
                      <c:ptCount val="1"/>
                      <c:pt idx="0">
                        <c:v>H2 (9€)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Hoja3!$I$21</c15:sqref>
                        </c15:formulaRef>
                      </c:ext>
                    </c:extLst>
                    <c:strCache>
                      <c:ptCount val="1"/>
                      <c:pt idx="0">
                        <c:v>700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Hoja3!$C$23:$P$23</c15:sqref>
                        </c15:fullRef>
                        <c15:formulaRef>
                          <c15:sqref>Hoja3!$I$23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1.1399999999999999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1F5-489D-9551-BE34BAE2C1F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Hoja3!$B$24</c15:sqref>
                        </c15:formulaRef>
                      </c:ext>
                    </c:extLst>
                    <c:strCache>
                      <c:ptCount val="1"/>
                      <c:pt idx="0">
                        <c:v>H2 (8€)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Hoja3!$I$21</c15:sqref>
                        </c15:formulaRef>
                      </c:ext>
                    </c:extLst>
                    <c:strCache>
                      <c:ptCount val="1"/>
                      <c:pt idx="0">
                        <c:v>700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Hoja3!$C$24:$P$24</c15:sqref>
                        </c15:fullRef>
                        <c15:formulaRef>
                          <c15:sqref>Hoja3!$I$24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1F5-489D-9551-BE34BAE2C1F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Hoja3!$B$25</c15:sqref>
                        </c15:formulaRef>
                      </c:ext>
                    </c:extLst>
                    <c:strCache>
                      <c:ptCount val="1"/>
                      <c:pt idx="0">
                        <c:v>H2 (7€)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Hoja3!$I$21</c15:sqref>
                        </c15:formulaRef>
                      </c:ext>
                    </c:extLst>
                    <c:strCache>
                      <c:ptCount val="1"/>
                      <c:pt idx="0">
                        <c:v>700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Hoja3!$C$25:$P$25</c15:sqref>
                        </c15:fullRef>
                        <c15:formulaRef>
                          <c15:sqref>Hoja3!$I$25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0.89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1F5-489D-9551-BE34BAE2C1F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Hoja3!$B$26</c15:sqref>
                        </c15:formulaRef>
                      </c:ext>
                    </c:extLst>
                    <c:strCache>
                      <c:ptCount val="1"/>
                      <c:pt idx="0">
                        <c:v>H2 (6€)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Hoja3!$I$21</c15:sqref>
                        </c15:formulaRef>
                      </c:ext>
                    </c:extLst>
                    <c:strCache>
                      <c:ptCount val="1"/>
                      <c:pt idx="0">
                        <c:v>700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Hoja3!$C$26:$P$26</c15:sqref>
                        </c15:fullRef>
                        <c15:formulaRef>
                          <c15:sqref>Hoja3!$I$26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1F5-489D-9551-BE34BAE2C1F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Hoja3!$B$28</c15:sqref>
                        </c15:formulaRef>
                      </c:ext>
                    </c:extLst>
                    <c:strCache>
                      <c:ptCount val="1"/>
                      <c:pt idx="0">
                        <c:v>H2 (4€)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Hoja3!$I$21</c15:sqref>
                        </c15:formulaRef>
                      </c:ext>
                    </c:extLst>
                    <c:strCache>
                      <c:ptCount val="1"/>
                      <c:pt idx="0">
                        <c:v>700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Hoja3!$C$28:$P$28</c15:sqref>
                        </c15:fullRef>
                        <c15:formulaRef>
                          <c15:sqref>Hoja3!$I$28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0.53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1F5-489D-9551-BE34BAE2C1F8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Hoja3!$B$30</c15:sqref>
                        </c15:formulaRef>
                      </c:ext>
                    </c:extLst>
                    <c:strCache>
                      <c:ptCount val="1"/>
                      <c:pt idx="0">
                        <c:v>H2 (2€)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Hoja3!$I$21</c15:sqref>
                        </c15:formulaRef>
                      </c:ext>
                    </c:extLst>
                    <c:strCache>
                      <c:ptCount val="1"/>
                      <c:pt idx="0">
                        <c:v>700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Hoja3!$C$30:$P$30</c15:sqref>
                        </c15:fullRef>
                        <c15:formulaRef>
                          <c15:sqref>Hoja3!$I$30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0.28999999999999998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1F5-489D-9551-BE34BAE2C1F8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Hoja3!$B$31</c15:sqref>
                        </c15:formulaRef>
                      </c:ext>
                    </c:extLst>
                    <c:strCache>
                      <c:ptCount val="1"/>
                      <c:pt idx="0">
                        <c:v>H2 (1€)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Hoja3!$I$21</c15:sqref>
                        </c15:formulaRef>
                      </c:ext>
                    </c:extLst>
                    <c:strCache>
                      <c:ptCount val="1"/>
                      <c:pt idx="0">
                        <c:v>700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Hoja3!$C$31:$P$31</c15:sqref>
                        </c15:fullRef>
                        <c15:formulaRef>
                          <c15:sqref>Hoja3!$I$31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0.17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1F5-489D-9551-BE34BAE2C1F8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Hoja3!$B$33</c15:sqref>
                        </c15:formulaRef>
                      </c:ext>
                    </c:extLst>
                    <c:strCache>
                      <c:ptCount val="1"/>
                      <c:pt idx="0">
                        <c:v>GASOIL (0,8 €)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Hoja3!$I$21</c15:sqref>
                        </c15:formulaRef>
                      </c:ext>
                    </c:extLst>
                    <c:strCache>
                      <c:ptCount val="1"/>
                      <c:pt idx="0">
                        <c:v>700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Hoja3!$C$33:$P$33</c15:sqref>
                        </c15:fullRef>
                        <c15:formulaRef>
                          <c15:sqref>Hoja3!$I$33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1F5-489D-9551-BE34BAE2C1F8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Hoja3!$B$34</c15:sqref>
                        </c15:formulaRef>
                      </c:ext>
                    </c:extLst>
                    <c:strCache>
                      <c:ptCount val="1"/>
                      <c:pt idx="0">
                        <c:v>BIOMETANO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Hoja3!$I$21</c15:sqref>
                        </c15:formulaRef>
                      </c:ext>
                    </c:extLst>
                    <c:strCache>
                      <c:ptCount val="1"/>
                      <c:pt idx="0">
                        <c:v>700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Hoja3!$C$34:$P$34</c15:sqref>
                        </c15:fullRef>
                        <c15:formulaRef>
                          <c15:sqref>Hoja3!$I$34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0.15942028985507273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1F5-489D-9551-BE34BAE2C1F8}"/>
                  </c:ext>
                </c:extLst>
              </c15:ser>
            </c15:filteredBarSeries>
          </c:ext>
        </c:extLst>
      </c:barChart>
      <c:catAx>
        <c:axId val="205130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289183"/>
        <c:crosses val="autoZero"/>
        <c:auto val="1"/>
        <c:lblAlgn val="ctr"/>
        <c:lblOffset val="100"/>
        <c:noMultiLvlLbl val="0"/>
      </c:catAx>
      <c:valAx>
        <c:axId val="20512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30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OPERATIVA</a:t>
            </a:r>
            <a:r>
              <a:rPr lang="es-ES" baseline="0"/>
              <a:t> 800 KMS</a:t>
            </a:r>
            <a:endParaRPr lang="es-ES"/>
          </a:p>
        </c:rich>
      </c:tx>
      <c:layout>
        <c:manualLayout>
          <c:xMode val="edge"/>
          <c:yMode val="edge"/>
          <c:x val="0.37250388802488327"/>
          <c:y val="2.6872157561827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Hoja3!$B$27</c:f>
              <c:strCache>
                <c:ptCount val="1"/>
                <c:pt idx="0">
                  <c:v>H2 (5€)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Hoja3!$J$21</c:f>
              <c:strCache>
                <c:ptCount val="1"/>
                <c:pt idx="0">
                  <c:v>800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Hoja3!$C$27:$P$27</c15:sqref>
                  </c15:fullRef>
                </c:ext>
              </c:extLst>
              <c:f>Hoja3!$J$27</c:f>
              <c:numCache>
                <c:formatCode>0%</c:formatCode>
                <c:ptCount val="1"/>
                <c:pt idx="0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3-48A4-82BA-89319341ED91}"/>
            </c:ext>
          </c:extLst>
        </c:ser>
        <c:ser>
          <c:idx val="7"/>
          <c:order val="7"/>
          <c:tx>
            <c:strRef>
              <c:f>Hoja3!$B$29</c:f>
              <c:strCache>
                <c:ptCount val="1"/>
                <c:pt idx="0">
                  <c:v>H2 (3€)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Hoja3!$J$21</c:f>
              <c:strCache>
                <c:ptCount val="1"/>
                <c:pt idx="0">
                  <c:v>800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Hoja3!$C$29:$P$29</c15:sqref>
                  </c15:fullRef>
                </c:ext>
              </c:extLst>
              <c:f>Hoja3!$J$29</c:f>
              <c:numCache>
                <c:formatCode>0%</c:formatCode>
                <c:ptCount val="1"/>
                <c:pt idx="0">
                  <c:v>0.32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55A3-48A4-82BA-89319341ED91}"/>
            </c:ext>
          </c:extLst>
        </c:ser>
        <c:ser>
          <c:idx val="10"/>
          <c:order val="10"/>
          <c:tx>
            <c:strRef>
              <c:f>Hoja3!$B$32</c:f>
              <c:strCache>
                <c:ptCount val="1"/>
                <c:pt idx="0">
                  <c:v>GAS NATURAL  (0,6 €)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Hoja3!$J$21</c:f>
              <c:strCache>
                <c:ptCount val="1"/>
                <c:pt idx="0">
                  <c:v>800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Hoja3!$C$32:$P$32</c15:sqref>
                  </c15:fullRef>
                </c:ext>
              </c:extLst>
              <c:f>Hoja3!$J$32</c:f>
              <c:numCache>
                <c:formatCode>0%</c:formatCode>
                <c:ptCount val="1"/>
                <c:pt idx="0">
                  <c:v>-0.01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A3-48A4-82BA-89319341E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309567"/>
        <c:axId val="20512891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Hoja3!$B$22</c15:sqref>
                        </c15:formulaRef>
                      </c:ext>
                    </c:extLst>
                    <c:strCache>
                      <c:ptCount val="1"/>
                      <c:pt idx="0">
                        <c:v>H2 (10€)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Hoja3!$C$21:$P$21</c15:sqref>
                        </c15:fullRef>
                        <c15:formulaRef>
                          <c15:sqref>Hoja3!$J$21</c15:sqref>
                        </c15:formulaRef>
                      </c:ext>
                    </c:extLst>
                    <c:strCache>
                      <c:ptCount val="1"/>
                      <c:pt idx="0">
                        <c:v>800 kms/day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Hoja3!$C$22:$P$22</c15:sqref>
                        </c15:fullRef>
                        <c15:formulaRef>
                          <c15:sqref>Hoja3!$J$22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5A3-48A4-82BA-89319341ED9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Hoja3!$B$23</c15:sqref>
                        </c15:formulaRef>
                      </c:ext>
                    </c:extLst>
                    <c:strCache>
                      <c:ptCount val="1"/>
                      <c:pt idx="0">
                        <c:v>H2 (9€)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Hoja3!$J$21</c15:sqref>
                        </c15:formulaRef>
                      </c:ext>
                    </c:extLst>
                    <c:strCache>
                      <c:ptCount val="1"/>
                      <c:pt idx="0">
                        <c:v>800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Hoja3!$C$23:$P$23</c15:sqref>
                        </c15:fullRef>
                        <c15:formulaRef>
                          <c15:sqref>Hoja3!$J$23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5A3-48A4-82BA-89319341ED9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Hoja3!$B$24</c15:sqref>
                        </c15:formulaRef>
                      </c:ext>
                    </c:extLst>
                    <c:strCache>
                      <c:ptCount val="1"/>
                      <c:pt idx="0">
                        <c:v>H2 (8€)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Hoja3!$J$21</c15:sqref>
                        </c15:formulaRef>
                      </c:ext>
                    </c:extLst>
                    <c:strCache>
                      <c:ptCount val="1"/>
                      <c:pt idx="0">
                        <c:v>800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Hoja3!$C$24:$P$24</c15:sqref>
                        </c15:fullRef>
                        <c15:formulaRef>
                          <c15:sqref>Hoja3!$J$24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0.83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5A3-48A4-82BA-89319341ED9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Hoja3!$B$25</c15:sqref>
                        </c15:formulaRef>
                      </c:ext>
                    </c:extLst>
                    <c:strCache>
                      <c:ptCount val="1"/>
                      <c:pt idx="0">
                        <c:v>H2 (7€)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Hoja3!$J$21</c15:sqref>
                        </c15:formulaRef>
                      </c:ext>
                    </c:extLst>
                    <c:strCache>
                      <c:ptCount val="1"/>
                      <c:pt idx="0">
                        <c:v>800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Hoja3!$C$25:$P$25</c15:sqref>
                        </c15:fullRef>
                        <c15:formulaRef>
                          <c15:sqref>Hoja3!$J$25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5A3-48A4-82BA-89319341ED9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Hoja3!$B$26</c15:sqref>
                        </c15:formulaRef>
                      </c:ext>
                    </c:extLst>
                    <c:strCache>
                      <c:ptCount val="1"/>
                      <c:pt idx="0">
                        <c:v>H2 (6€)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Hoja3!$J$21</c15:sqref>
                        </c15:formulaRef>
                      </c:ext>
                    </c:extLst>
                    <c:strCache>
                      <c:ptCount val="1"/>
                      <c:pt idx="0">
                        <c:v>800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Hoja3!$C$26:$P$26</c15:sqref>
                        </c15:fullRef>
                        <c15:formulaRef>
                          <c15:sqref>Hoja3!$J$26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0.63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5A3-48A4-82BA-89319341ED9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Hoja3!$B$28</c15:sqref>
                        </c15:formulaRef>
                      </c:ext>
                    </c:extLst>
                    <c:strCache>
                      <c:ptCount val="1"/>
                      <c:pt idx="0">
                        <c:v>H2 (4€)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Hoja3!$J$21</c15:sqref>
                        </c15:formulaRef>
                      </c:ext>
                    </c:extLst>
                    <c:strCache>
                      <c:ptCount val="1"/>
                      <c:pt idx="0">
                        <c:v>800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Hoja3!$C$28:$P$28</c15:sqref>
                        </c15:fullRef>
                        <c15:formulaRef>
                          <c15:sqref>Hoja3!$J$28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5A3-48A4-82BA-89319341ED91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Hoja3!$B$30</c15:sqref>
                        </c15:formulaRef>
                      </c:ext>
                    </c:extLst>
                    <c:strCache>
                      <c:ptCount val="1"/>
                      <c:pt idx="0">
                        <c:v>H2 (2€)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Hoja3!$J$21</c15:sqref>
                        </c15:formulaRef>
                      </c:ext>
                    </c:extLst>
                    <c:strCache>
                      <c:ptCount val="1"/>
                      <c:pt idx="0">
                        <c:v>800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Hoja3!$C$30:$P$30</c15:sqref>
                        </c15:fullRef>
                        <c15:formulaRef>
                          <c15:sqref>Hoja3!$J$30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5A3-48A4-82BA-89319341ED9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Hoja3!$B$31</c15:sqref>
                        </c15:formulaRef>
                      </c:ext>
                    </c:extLst>
                    <c:strCache>
                      <c:ptCount val="1"/>
                      <c:pt idx="0">
                        <c:v>H2 (1€)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Hoja3!$J$21</c15:sqref>
                        </c15:formulaRef>
                      </c:ext>
                    </c:extLst>
                    <c:strCache>
                      <c:ptCount val="1"/>
                      <c:pt idx="0">
                        <c:v>800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Hoja3!$C$31:$P$31</c15:sqref>
                        </c15:fullRef>
                        <c15:formulaRef>
                          <c15:sqref>Hoja3!$J$31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5A3-48A4-82BA-89319341ED91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Hoja3!$B$33</c15:sqref>
                        </c15:formulaRef>
                      </c:ext>
                    </c:extLst>
                    <c:strCache>
                      <c:ptCount val="1"/>
                      <c:pt idx="0">
                        <c:v>GASOIL (0,8 €)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Hoja3!$J$21</c15:sqref>
                        </c15:formulaRef>
                      </c:ext>
                    </c:extLst>
                    <c:strCache>
                      <c:ptCount val="1"/>
                      <c:pt idx="0">
                        <c:v>800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Hoja3!$C$33:$P$33</c15:sqref>
                        </c15:fullRef>
                        <c15:formulaRef>
                          <c15:sqref>Hoja3!$J$33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5A3-48A4-82BA-89319341ED91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Hoja3!$B$34</c15:sqref>
                        </c15:formulaRef>
                      </c:ext>
                    </c:extLst>
                    <c:strCache>
                      <c:ptCount val="1"/>
                      <c:pt idx="0">
                        <c:v>BIOMETANO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Hoja3!$J$21</c15:sqref>
                        </c15:formulaRef>
                      </c:ext>
                    </c:extLst>
                    <c:strCache>
                      <c:ptCount val="1"/>
                      <c:pt idx="0">
                        <c:v>800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Hoja3!$C$34:$P$34</c15:sqref>
                        </c15:fullRef>
                        <c15:formulaRef>
                          <c15:sqref>Hoja3!$J$34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5A3-48A4-82BA-89319341ED91}"/>
                  </c:ext>
                </c:extLst>
              </c15:ser>
            </c15:filteredBarSeries>
          </c:ext>
        </c:extLst>
      </c:barChart>
      <c:catAx>
        <c:axId val="205130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289183"/>
        <c:crosses val="autoZero"/>
        <c:auto val="1"/>
        <c:lblAlgn val="ctr"/>
        <c:lblOffset val="100"/>
        <c:noMultiLvlLbl val="0"/>
      </c:catAx>
      <c:valAx>
        <c:axId val="20512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30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OPERATIVA</a:t>
            </a:r>
            <a:r>
              <a:rPr lang="es-ES" baseline="0"/>
              <a:t> 900 KMS</a:t>
            </a:r>
            <a:endParaRPr lang="es-ES"/>
          </a:p>
        </c:rich>
      </c:tx>
      <c:layout>
        <c:manualLayout>
          <c:xMode val="edge"/>
          <c:yMode val="edge"/>
          <c:x val="0.37250388802488327"/>
          <c:y val="2.6872157561827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Hoja3!$B$27</c:f>
              <c:strCache>
                <c:ptCount val="1"/>
                <c:pt idx="0">
                  <c:v>H2 (5€)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Hoja3!$K$21</c:f>
              <c:strCache>
                <c:ptCount val="1"/>
                <c:pt idx="0">
                  <c:v>900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Hoja3!$C$27:$P$27</c15:sqref>
                  </c15:fullRef>
                </c:ext>
              </c:extLst>
              <c:f>Hoja3!$K$27</c:f>
              <c:numCache>
                <c:formatCode>0%</c:formatCode>
                <c:ptCount val="1"/>
                <c:pt idx="0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9-4684-9AAB-59E6BD8D6921}"/>
            </c:ext>
          </c:extLst>
        </c:ser>
        <c:ser>
          <c:idx val="7"/>
          <c:order val="7"/>
          <c:tx>
            <c:strRef>
              <c:f>Hoja3!$B$29</c:f>
              <c:strCache>
                <c:ptCount val="1"/>
                <c:pt idx="0">
                  <c:v>H2 (3€)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Hoja3!$K$21</c:f>
              <c:strCache>
                <c:ptCount val="1"/>
                <c:pt idx="0">
                  <c:v>900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Hoja3!$C$29:$P$29</c15:sqref>
                  </c15:fullRef>
                </c:ext>
              </c:extLst>
              <c:f>Hoja3!$K$29</c:f>
              <c:numCache>
                <c:formatCode>0%</c:formatCode>
                <c:ptCount val="1"/>
                <c:pt idx="0">
                  <c:v>0.31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F839-4684-9AAB-59E6BD8D6921}"/>
            </c:ext>
          </c:extLst>
        </c:ser>
        <c:ser>
          <c:idx val="10"/>
          <c:order val="10"/>
          <c:tx>
            <c:strRef>
              <c:f>Hoja3!$B$32</c:f>
              <c:strCache>
                <c:ptCount val="1"/>
                <c:pt idx="0">
                  <c:v>GAS NATURAL  (0,6 €)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Hoja3!$K$21</c:f>
              <c:strCache>
                <c:ptCount val="1"/>
                <c:pt idx="0">
                  <c:v>900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Hoja3!$C$32:$P$32</c15:sqref>
                  </c15:fullRef>
                </c:ext>
              </c:extLst>
              <c:f>Hoja3!$K$32</c:f>
              <c:numCache>
                <c:formatCode>0%</c:formatCode>
                <c:ptCount val="1"/>
                <c:pt idx="0">
                  <c:v>-0.02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39-4684-9AAB-59E6BD8D6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309567"/>
        <c:axId val="20512891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Hoja3!$B$22</c15:sqref>
                        </c15:formulaRef>
                      </c:ext>
                    </c:extLst>
                    <c:strCache>
                      <c:ptCount val="1"/>
                      <c:pt idx="0">
                        <c:v>H2 (10€)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Hoja3!$C$21:$P$21</c15:sqref>
                        </c15:fullRef>
                        <c15:formulaRef>
                          <c15:sqref>Hoja3!$K$21</c15:sqref>
                        </c15:formulaRef>
                      </c:ext>
                    </c:extLst>
                    <c:strCache>
                      <c:ptCount val="1"/>
                      <c:pt idx="0">
                        <c:v>900 kms/day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Hoja3!$C$22:$P$22</c15:sqref>
                        </c15:fullRef>
                        <c15:formulaRef>
                          <c15:sqref>Hoja3!$K$22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1.07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839-4684-9AAB-59E6BD8D692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Hoja3!$B$23</c15:sqref>
                        </c15:formulaRef>
                      </c:ext>
                    </c:extLst>
                    <c:strCache>
                      <c:ptCount val="1"/>
                      <c:pt idx="0">
                        <c:v>H2 (9€)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Hoja3!$K$21</c15:sqref>
                        </c15:formulaRef>
                      </c:ext>
                    </c:extLst>
                    <c:strCache>
                      <c:ptCount val="1"/>
                      <c:pt idx="0">
                        <c:v>900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Hoja3!$C$23:$P$23</c15:sqref>
                        </c15:fullRef>
                        <c15:formulaRef>
                          <c15:sqref>Hoja3!$K$23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839-4684-9AAB-59E6BD8D692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Hoja3!$B$24</c15:sqref>
                        </c15:formulaRef>
                      </c:ext>
                    </c:extLst>
                    <c:strCache>
                      <c:ptCount val="1"/>
                      <c:pt idx="0">
                        <c:v>H2 (8€)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Hoja3!$K$21</c15:sqref>
                        </c15:formulaRef>
                      </c:ext>
                    </c:extLst>
                    <c:strCache>
                      <c:ptCount val="1"/>
                      <c:pt idx="0">
                        <c:v>900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Hoja3!$C$24:$P$24</c15:sqref>
                        </c15:fullRef>
                        <c15:formulaRef>
                          <c15:sqref>Hoja3!$K$24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839-4684-9AAB-59E6BD8D692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Hoja3!$B$25</c15:sqref>
                        </c15:formulaRef>
                      </c:ext>
                    </c:extLst>
                    <c:strCache>
                      <c:ptCount val="1"/>
                      <c:pt idx="0">
                        <c:v>H2 (7€)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Hoja3!$K$21</c15:sqref>
                        </c15:formulaRef>
                      </c:ext>
                    </c:extLst>
                    <c:strCache>
                      <c:ptCount val="1"/>
                      <c:pt idx="0">
                        <c:v>900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Hoja3!$C$25:$P$25</c15:sqref>
                        </c15:fullRef>
                        <c15:formulaRef>
                          <c15:sqref>Hoja3!$K$25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0.75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839-4684-9AAB-59E6BD8D692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Hoja3!$B$26</c15:sqref>
                        </c15:formulaRef>
                      </c:ext>
                    </c:extLst>
                    <c:strCache>
                      <c:ptCount val="1"/>
                      <c:pt idx="0">
                        <c:v>H2 (6€)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Hoja3!$K$21</c15:sqref>
                        </c15:formulaRef>
                      </c:ext>
                    </c:extLst>
                    <c:strCache>
                      <c:ptCount val="1"/>
                      <c:pt idx="0">
                        <c:v>900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Hoja3!$C$26:$P$26</c15:sqref>
                        </c15:fullRef>
                        <c15:formulaRef>
                          <c15:sqref>Hoja3!$K$26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839-4684-9AAB-59E6BD8D692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Hoja3!$B$28</c15:sqref>
                        </c15:formulaRef>
                      </c:ext>
                    </c:extLst>
                    <c:strCache>
                      <c:ptCount val="1"/>
                      <c:pt idx="0">
                        <c:v>H2 (4€)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Hoja3!$K$21</c15:sqref>
                        </c15:formulaRef>
                      </c:ext>
                    </c:extLst>
                    <c:strCache>
                      <c:ptCount val="1"/>
                      <c:pt idx="0">
                        <c:v>900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Hoja3!$C$28:$P$28</c15:sqref>
                        </c15:fullRef>
                        <c15:formulaRef>
                          <c15:sqref>Hoja3!$K$28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839-4684-9AAB-59E6BD8D6921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Hoja3!$B$30</c15:sqref>
                        </c15:formulaRef>
                      </c:ext>
                    </c:extLst>
                    <c:strCache>
                      <c:ptCount val="1"/>
                      <c:pt idx="0">
                        <c:v>H2 (2€)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Hoja3!$K$21</c15:sqref>
                        </c15:formulaRef>
                      </c:ext>
                    </c:extLst>
                    <c:strCache>
                      <c:ptCount val="1"/>
                      <c:pt idx="0">
                        <c:v>900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Hoja3!$C$30:$P$30</c15:sqref>
                        </c15:fullRef>
                        <c15:formulaRef>
                          <c15:sqref>Hoja3!$K$30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839-4684-9AAB-59E6BD8D692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Hoja3!$B$31</c15:sqref>
                        </c15:formulaRef>
                      </c:ext>
                    </c:extLst>
                    <c:strCache>
                      <c:ptCount val="1"/>
                      <c:pt idx="0">
                        <c:v>H2 (1€)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Hoja3!$K$21</c15:sqref>
                        </c15:formulaRef>
                      </c:ext>
                    </c:extLst>
                    <c:strCache>
                      <c:ptCount val="1"/>
                      <c:pt idx="0">
                        <c:v>900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Hoja3!$C$31:$P$31</c15:sqref>
                        </c15:fullRef>
                        <c15:formulaRef>
                          <c15:sqref>Hoja3!$K$31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839-4684-9AAB-59E6BD8D6921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Hoja3!$B$33</c15:sqref>
                        </c15:formulaRef>
                      </c:ext>
                    </c:extLst>
                    <c:strCache>
                      <c:ptCount val="1"/>
                      <c:pt idx="0">
                        <c:v>GASOIL (0,8 €)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Hoja3!$K$21</c15:sqref>
                        </c15:formulaRef>
                      </c:ext>
                    </c:extLst>
                    <c:strCache>
                      <c:ptCount val="1"/>
                      <c:pt idx="0">
                        <c:v>900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Hoja3!$C$33:$P$33</c15:sqref>
                        </c15:fullRef>
                        <c15:formulaRef>
                          <c15:sqref>Hoja3!$K$33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839-4684-9AAB-59E6BD8D6921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Hoja3!$B$34</c15:sqref>
                        </c15:formulaRef>
                      </c:ext>
                    </c:extLst>
                    <c:strCache>
                      <c:ptCount val="1"/>
                      <c:pt idx="0">
                        <c:v>BIOMETANO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Hoja3!$K$21</c15:sqref>
                        </c15:formulaRef>
                      </c:ext>
                    </c:extLst>
                    <c:strCache>
                      <c:ptCount val="1"/>
                      <c:pt idx="0">
                        <c:v>900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Hoja3!$C$34:$P$34</c15:sqref>
                        </c15:fullRef>
                        <c15:formulaRef>
                          <c15:sqref>Hoja3!$K$34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839-4684-9AAB-59E6BD8D6921}"/>
                  </c:ext>
                </c:extLst>
              </c15:ser>
            </c15:filteredBarSeries>
          </c:ext>
        </c:extLst>
      </c:barChart>
      <c:catAx>
        <c:axId val="205130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289183"/>
        <c:crosses val="autoZero"/>
        <c:auto val="1"/>
        <c:lblAlgn val="ctr"/>
        <c:lblOffset val="100"/>
        <c:noMultiLvlLbl val="0"/>
      </c:catAx>
      <c:valAx>
        <c:axId val="20512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30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OPERATIVA</a:t>
            </a:r>
            <a:r>
              <a:rPr lang="es-ES" baseline="0"/>
              <a:t> 1000 KMS</a:t>
            </a:r>
            <a:endParaRPr lang="es-ES"/>
          </a:p>
        </c:rich>
      </c:tx>
      <c:layout>
        <c:manualLayout>
          <c:xMode val="edge"/>
          <c:yMode val="edge"/>
          <c:x val="0.37250388802488327"/>
          <c:y val="2.6872157561827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Hoja3!$B$27</c:f>
              <c:strCache>
                <c:ptCount val="1"/>
                <c:pt idx="0">
                  <c:v>H2 (5€)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Hoja3!$L$21</c:f>
              <c:strCache>
                <c:ptCount val="1"/>
                <c:pt idx="0">
                  <c:v>1000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Hoja3!$C$27:$P$27</c15:sqref>
                  </c15:fullRef>
                </c:ext>
              </c:extLst>
              <c:f>Hoja3!$L$27</c:f>
              <c:numCache>
                <c:formatCode>0%</c:formatCode>
                <c:ptCount val="1"/>
                <c:pt idx="0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9-461B-ACBE-F7B97DB39E37}"/>
            </c:ext>
          </c:extLst>
        </c:ser>
        <c:ser>
          <c:idx val="7"/>
          <c:order val="7"/>
          <c:tx>
            <c:strRef>
              <c:f>Hoja3!$B$29</c:f>
              <c:strCache>
                <c:ptCount val="1"/>
                <c:pt idx="0">
                  <c:v>H2 (3€)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Hoja3!$L$21</c:f>
              <c:strCache>
                <c:ptCount val="1"/>
                <c:pt idx="0">
                  <c:v>1000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Hoja3!$C$29:$P$29</c15:sqref>
                  </c15:fullRef>
                </c:ext>
              </c:extLst>
              <c:f>Hoja3!$L$29</c:f>
              <c:numCache>
                <c:formatCode>0%</c:formatCode>
                <c:ptCount val="1"/>
                <c:pt idx="0">
                  <c:v>0.28999999999999998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0C49-461B-ACBE-F7B97DB39E37}"/>
            </c:ext>
          </c:extLst>
        </c:ser>
        <c:ser>
          <c:idx val="10"/>
          <c:order val="10"/>
          <c:tx>
            <c:strRef>
              <c:f>Hoja3!$B$32</c:f>
              <c:strCache>
                <c:ptCount val="1"/>
                <c:pt idx="0">
                  <c:v>GAS NATURAL  (0,6 €)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Hoja3!$L$21</c:f>
              <c:strCache>
                <c:ptCount val="1"/>
                <c:pt idx="0">
                  <c:v>1000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Hoja3!$C$32:$P$32</c15:sqref>
                  </c15:fullRef>
                </c:ext>
              </c:extLst>
              <c:f>Hoja3!$L$32</c:f>
              <c:numCache>
                <c:formatCode>0%</c:formatCode>
                <c:ptCount val="1"/>
                <c:pt idx="0">
                  <c:v>-0.04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49-461B-ACBE-F7B97DB39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309567"/>
        <c:axId val="20512891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Hoja3!$B$22</c15:sqref>
                        </c15:formulaRef>
                      </c:ext>
                    </c:extLst>
                    <c:strCache>
                      <c:ptCount val="1"/>
                      <c:pt idx="0">
                        <c:v>H2 (10€)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Hoja3!$C$21:$P$21</c15:sqref>
                        </c15:fullRef>
                        <c15:formulaRef>
                          <c15:sqref>Hoja3!$L$21</c15:sqref>
                        </c15:formulaRef>
                      </c:ext>
                    </c:extLst>
                    <c:strCache>
                      <c:ptCount val="1"/>
                      <c:pt idx="0">
                        <c:v>1000 kms/day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Hoja3!$C$22:$P$22</c15:sqref>
                        </c15:fullRef>
                        <c15:formulaRef>
                          <c15:sqref>Hoja3!$L$22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1.1100000000000001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0C49-461B-ACBE-F7B97DB39E3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Hoja3!$B$23</c15:sqref>
                        </c15:formulaRef>
                      </c:ext>
                    </c:extLst>
                    <c:strCache>
                      <c:ptCount val="1"/>
                      <c:pt idx="0">
                        <c:v>H2 (9€)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Hoja3!$L$21</c15:sqref>
                        </c15:formulaRef>
                      </c:ext>
                    </c:extLst>
                    <c:strCache>
                      <c:ptCount val="1"/>
                      <c:pt idx="0">
                        <c:v>1000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Hoja3!$C$23:$P$23</c15:sqref>
                        </c15:fullRef>
                        <c15:formulaRef>
                          <c15:sqref>Hoja3!$L$23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C49-461B-ACBE-F7B97DB39E3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Hoja3!$B$24</c15:sqref>
                        </c15:formulaRef>
                      </c:ext>
                    </c:extLst>
                    <c:strCache>
                      <c:ptCount val="1"/>
                      <c:pt idx="0">
                        <c:v>H2 (8€)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Hoja3!$L$21</c15:sqref>
                        </c15:formulaRef>
                      </c:ext>
                    </c:extLst>
                    <c:strCache>
                      <c:ptCount val="1"/>
                      <c:pt idx="0">
                        <c:v>1000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Hoja3!$C$24:$P$24</c15:sqref>
                        </c15:fullRef>
                        <c15:formulaRef>
                          <c15:sqref>Hoja3!$L$24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0.88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C49-461B-ACBE-F7B97DB39E3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Hoja3!$B$25</c15:sqref>
                        </c15:formulaRef>
                      </c:ext>
                    </c:extLst>
                    <c:strCache>
                      <c:ptCount val="1"/>
                      <c:pt idx="0">
                        <c:v>H2 (7€)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Hoja3!$L$21</c15:sqref>
                        </c15:formulaRef>
                      </c:ext>
                    </c:extLst>
                    <c:strCache>
                      <c:ptCount val="1"/>
                      <c:pt idx="0">
                        <c:v>1000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Hoja3!$C$25:$P$25</c15:sqref>
                        </c15:fullRef>
                        <c15:formulaRef>
                          <c15:sqref>Hoja3!$L$25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0.76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C49-461B-ACBE-F7B97DB39E3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Hoja3!$B$26</c15:sqref>
                        </c15:formulaRef>
                      </c:ext>
                    </c:extLst>
                    <c:strCache>
                      <c:ptCount val="1"/>
                      <c:pt idx="0">
                        <c:v>H2 (6€)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Hoja3!$L$21</c15:sqref>
                        </c15:formulaRef>
                      </c:ext>
                    </c:extLst>
                    <c:strCache>
                      <c:ptCount val="1"/>
                      <c:pt idx="0">
                        <c:v>1000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Hoja3!$C$26:$P$26</c15:sqref>
                        </c15:fullRef>
                        <c15:formulaRef>
                          <c15:sqref>Hoja3!$L$26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C49-461B-ACBE-F7B97DB39E37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Hoja3!$B$28</c15:sqref>
                        </c15:formulaRef>
                      </c:ext>
                    </c:extLst>
                    <c:strCache>
                      <c:ptCount val="1"/>
                      <c:pt idx="0">
                        <c:v>H2 (4€)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Hoja3!$L$21</c15:sqref>
                        </c15:formulaRef>
                      </c:ext>
                    </c:extLst>
                    <c:strCache>
                      <c:ptCount val="1"/>
                      <c:pt idx="0">
                        <c:v>1000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Hoja3!$C$28:$P$28</c15:sqref>
                        </c15:fullRef>
                        <c15:formulaRef>
                          <c15:sqref>Hoja3!$L$28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0.41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C49-461B-ACBE-F7B97DB39E37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Hoja3!$B$30</c15:sqref>
                        </c15:formulaRef>
                      </c:ext>
                    </c:extLst>
                    <c:strCache>
                      <c:ptCount val="1"/>
                      <c:pt idx="0">
                        <c:v>H2 (2€)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Hoja3!$L$21</c15:sqref>
                        </c15:formulaRef>
                      </c:ext>
                    </c:extLst>
                    <c:strCache>
                      <c:ptCount val="1"/>
                      <c:pt idx="0">
                        <c:v>1000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Hoja3!$C$30:$P$30</c15:sqref>
                        </c15:fullRef>
                        <c15:formulaRef>
                          <c15:sqref>Hoja3!$L$30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0.18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C49-461B-ACBE-F7B97DB39E37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Hoja3!$B$31</c15:sqref>
                        </c15:formulaRef>
                      </c:ext>
                    </c:extLst>
                    <c:strCache>
                      <c:ptCount val="1"/>
                      <c:pt idx="0">
                        <c:v>H2 (1€)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Hoja3!$L$21</c15:sqref>
                        </c15:formulaRef>
                      </c:ext>
                    </c:extLst>
                    <c:strCache>
                      <c:ptCount val="1"/>
                      <c:pt idx="0">
                        <c:v>1000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Hoja3!$C$31:$P$31</c15:sqref>
                        </c15:fullRef>
                        <c15:formulaRef>
                          <c15:sqref>Hoja3!$L$31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C49-461B-ACBE-F7B97DB39E37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Hoja3!$B$33</c15:sqref>
                        </c15:formulaRef>
                      </c:ext>
                    </c:extLst>
                    <c:strCache>
                      <c:ptCount val="1"/>
                      <c:pt idx="0">
                        <c:v>GASOIL (0,8 €)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Hoja3!$L$21</c15:sqref>
                        </c15:formulaRef>
                      </c:ext>
                    </c:extLst>
                    <c:strCache>
                      <c:ptCount val="1"/>
                      <c:pt idx="0">
                        <c:v>1000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Hoja3!$C$33:$P$33</c15:sqref>
                        </c15:fullRef>
                        <c15:formulaRef>
                          <c15:sqref>Hoja3!$L$33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C49-461B-ACBE-F7B97DB39E37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Hoja3!$B$34</c15:sqref>
                        </c15:formulaRef>
                      </c:ext>
                    </c:extLst>
                    <c:strCache>
                      <c:ptCount val="1"/>
                      <c:pt idx="0">
                        <c:v>BIOMETANO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Hoja3!$L$21</c15:sqref>
                        </c15:formulaRef>
                      </c:ext>
                    </c:extLst>
                    <c:strCache>
                      <c:ptCount val="1"/>
                      <c:pt idx="0">
                        <c:v>1000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Hoja3!$C$34:$P$34</c15:sqref>
                        </c15:fullRef>
                        <c15:formulaRef>
                          <c15:sqref>Hoja3!$L$34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0.14084507042253525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C49-461B-ACBE-F7B97DB39E37}"/>
                  </c:ext>
                </c:extLst>
              </c15:ser>
            </c15:filteredBarSeries>
          </c:ext>
        </c:extLst>
      </c:barChart>
      <c:catAx>
        <c:axId val="205130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289183"/>
        <c:crosses val="autoZero"/>
        <c:auto val="1"/>
        <c:lblAlgn val="ctr"/>
        <c:lblOffset val="100"/>
        <c:noMultiLvlLbl val="0"/>
      </c:catAx>
      <c:valAx>
        <c:axId val="20512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30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OPERATIVA</a:t>
            </a:r>
            <a:r>
              <a:rPr lang="es-ES" baseline="0"/>
              <a:t> 1100 KMS</a:t>
            </a:r>
            <a:endParaRPr lang="es-ES"/>
          </a:p>
        </c:rich>
      </c:tx>
      <c:layout>
        <c:manualLayout>
          <c:xMode val="edge"/>
          <c:yMode val="edge"/>
          <c:x val="0.37250388802488327"/>
          <c:y val="2.6872157561827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Hoja3!$B$27</c:f>
              <c:strCache>
                <c:ptCount val="1"/>
                <c:pt idx="0">
                  <c:v>H2 (5€)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Hoja3!$M$21</c:f>
              <c:strCache>
                <c:ptCount val="1"/>
                <c:pt idx="0">
                  <c:v>1100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Hoja3!$C$27:$P$27</c15:sqref>
                  </c15:fullRef>
                </c:ext>
              </c:extLst>
              <c:f>Hoja3!$M$27</c:f>
              <c:numCache>
                <c:formatCode>0%</c:formatCode>
                <c:ptCount val="1"/>
                <c:pt idx="0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0-4452-8069-0F81F609AD3C}"/>
            </c:ext>
          </c:extLst>
        </c:ser>
        <c:ser>
          <c:idx val="7"/>
          <c:order val="7"/>
          <c:tx>
            <c:strRef>
              <c:f>Hoja3!$B$29</c:f>
              <c:strCache>
                <c:ptCount val="1"/>
                <c:pt idx="0">
                  <c:v>H2 (3€)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Hoja3!$M$21</c:f>
              <c:strCache>
                <c:ptCount val="1"/>
                <c:pt idx="0">
                  <c:v>1100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Hoja3!$C$29:$P$29</c15:sqref>
                  </c15:fullRef>
                </c:ext>
              </c:extLst>
              <c:f>Hoja3!$M$29</c:f>
              <c:numCache>
                <c:formatCode>0%</c:formatCode>
                <c:ptCount val="1"/>
                <c:pt idx="0">
                  <c:v>0.28000000000000003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9D30-4452-8069-0F81F609AD3C}"/>
            </c:ext>
          </c:extLst>
        </c:ser>
        <c:ser>
          <c:idx val="10"/>
          <c:order val="10"/>
          <c:tx>
            <c:strRef>
              <c:f>Hoja3!$B$32</c:f>
              <c:strCache>
                <c:ptCount val="1"/>
                <c:pt idx="0">
                  <c:v>GAS NATURAL  (0,6 €)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Hoja3!$M$21</c:f>
              <c:strCache>
                <c:ptCount val="1"/>
                <c:pt idx="0">
                  <c:v>1100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Hoja3!$C$32:$P$32</c15:sqref>
                  </c15:fullRef>
                </c:ext>
              </c:extLst>
              <c:f>Hoja3!$M$32</c:f>
              <c:numCache>
                <c:formatCode>0%</c:formatCode>
                <c:ptCount val="1"/>
                <c:pt idx="0">
                  <c:v>-0.05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30-4452-8069-0F81F609A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309567"/>
        <c:axId val="20512891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Hoja3!$B$22</c15:sqref>
                        </c15:formulaRef>
                      </c:ext>
                    </c:extLst>
                    <c:strCache>
                      <c:ptCount val="1"/>
                      <c:pt idx="0">
                        <c:v>H2 (10€)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Hoja3!$C$21:$P$21</c15:sqref>
                        </c15:fullRef>
                        <c15:formulaRef>
                          <c15:sqref>Hoja3!$M$21</c15:sqref>
                        </c15:formulaRef>
                      </c:ext>
                    </c:extLst>
                    <c:strCache>
                      <c:ptCount val="1"/>
                      <c:pt idx="0">
                        <c:v>1100 kms/day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Hoja3!$C$22:$P$22</c15:sqref>
                        </c15:fullRef>
                        <c15:formulaRef>
                          <c15:sqref>Hoja3!$M$22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1.1499999999999999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D30-4452-8069-0F81F609AD3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Hoja3!$B$23</c15:sqref>
                        </c15:formulaRef>
                      </c:ext>
                    </c:extLst>
                    <c:strCache>
                      <c:ptCount val="1"/>
                      <c:pt idx="0">
                        <c:v>H2 (9€)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Hoja3!$M$21</c15:sqref>
                        </c15:formulaRef>
                      </c:ext>
                    </c:extLst>
                    <c:strCache>
                      <c:ptCount val="1"/>
                      <c:pt idx="0">
                        <c:v>1100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Hoja3!$C$23:$P$23</c15:sqref>
                        </c15:fullRef>
                        <c15:formulaRef>
                          <c15:sqref>Hoja3!$M$23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D30-4452-8069-0F81F609AD3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Hoja3!$B$24</c15:sqref>
                        </c15:formulaRef>
                      </c:ext>
                    </c:extLst>
                    <c:strCache>
                      <c:ptCount val="1"/>
                      <c:pt idx="0">
                        <c:v>H2 (8€)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Hoja3!$M$21</c15:sqref>
                        </c15:formulaRef>
                      </c:ext>
                    </c:extLst>
                    <c:strCache>
                      <c:ptCount val="1"/>
                      <c:pt idx="0">
                        <c:v>1100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Hoja3!$C$24:$P$24</c15:sqref>
                        </c15:fullRef>
                        <c15:formulaRef>
                          <c15:sqref>Hoja3!$M$24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D30-4452-8069-0F81F609AD3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Hoja3!$B$25</c15:sqref>
                        </c15:formulaRef>
                      </c:ext>
                    </c:extLst>
                    <c:strCache>
                      <c:ptCount val="1"/>
                      <c:pt idx="0">
                        <c:v>H2 (7€)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Hoja3!$M$21</c15:sqref>
                        </c15:formulaRef>
                      </c:ext>
                    </c:extLst>
                    <c:strCache>
                      <c:ptCount val="1"/>
                      <c:pt idx="0">
                        <c:v>1100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Hoja3!$C$25:$P$25</c15:sqref>
                        </c15:fullRef>
                        <c15:formulaRef>
                          <c15:sqref>Hoja3!$M$25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D30-4452-8069-0F81F609AD3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Hoja3!$B$26</c15:sqref>
                        </c15:formulaRef>
                      </c:ext>
                    </c:extLst>
                    <c:strCache>
                      <c:ptCount val="1"/>
                      <c:pt idx="0">
                        <c:v>H2 (6€)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Hoja3!$M$21</c15:sqref>
                        </c15:formulaRef>
                      </c:ext>
                    </c:extLst>
                    <c:strCache>
                      <c:ptCount val="1"/>
                      <c:pt idx="0">
                        <c:v>1100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Hoja3!$C$26:$P$26</c15:sqref>
                        </c15:fullRef>
                        <c15:formulaRef>
                          <c15:sqref>Hoja3!$M$26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D30-4452-8069-0F81F609AD3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Hoja3!$B$28</c15:sqref>
                        </c15:formulaRef>
                      </c:ext>
                    </c:extLst>
                    <c:strCache>
                      <c:ptCount val="1"/>
                      <c:pt idx="0">
                        <c:v>H2 (4€)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Hoja3!$M$21</c15:sqref>
                        </c15:formulaRef>
                      </c:ext>
                    </c:extLst>
                    <c:strCache>
                      <c:ptCount val="1"/>
                      <c:pt idx="0">
                        <c:v>1100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Hoja3!$C$28:$P$28</c15:sqref>
                        </c15:fullRef>
                        <c15:formulaRef>
                          <c15:sqref>Hoja3!$M$28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D30-4452-8069-0F81F609AD3C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Hoja3!$B$30</c15:sqref>
                        </c15:formulaRef>
                      </c:ext>
                    </c:extLst>
                    <c:strCache>
                      <c:ptCount val="1"/>
                      <c:pt idx="0">
                        <c:v>H2 (2€)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Hoja3!$M$21</c15:sqref>
                        </c15:formulaRef>
                      </c:ext>
                    </c:extLst>
                    <c:strCache>
                      <c:ptCount val="1"/>
                      <c:pt idx="0">
                        <c:v>1100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Hoja3!$C$30:$P$30</c15:sqref>
                        </c15:fullRef>
                        <c15:formulaRef>
                          <c15:sqref>Hoja3!$M$30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0.16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D30-4452-8069-0F81F609AD3C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Hoja3!$B$31</c15:sqref>
                        </c15:formulaRef>
                      </c:ext>
                    </c:extLst>
                    <c:strCache>
                      <c:ptCount val="1"/>
                      <c:pt idx="0">
                        <c:v>H2 (1€)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Hoja3!$M$21</c15:sqref>
                        </c15:formulaRef>
                      </c:ext>
                    </c:extLst>
                    <c:strCache>
                      <c:ptCount val="1"/>
                      <c:pt idx="0">
                        <c:v>1100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Hoja3!$C$31:$P$31</c15:sqref>
                        </c15:fullRef>
                        <c15:formulaRef>
                          <c15:sqref>Hoja3!$M$31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D30-4452-8069-0F81F609AD3C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Hoja3!$B$33</c15:sqref>
                        </c15:formulaRef>
                      </c:ext>
                    </c:extLst>
                    <c:strCache>
                      <c:ptCount val="1"/>
                      <c:pt idx="0">
                        <c:v>GASOIL (0,8 €)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Hoja3!$M$21</c15:sqref>
                        </c15:formulaRef>
                      </c:ext>
                    </c:extLst>
                    <c:strCache>
                      <c:ptCount val="1"/>
                      <c:pt idx="0">
                        <c:v>1100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Hoja3!$C$33:$P$33</c15:sqref>
                        </c15:fullRef>
                        <c15:formulaRef>
                          <c15:sqref>Hoja3!$M$33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D30-4452-8069-0F81F609AD3C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Hoja3!$B$34</c15:sqref>
                        </c15:formulaRef>
                      </c:ext>
                    </c:extLst>
                    <c:strCache>
                      <c:ptCount val="1"/>
                      <c:pt idx="0">
                        <c:v>BIOMETANO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Hoja3!$M$21</c15:sqref>
                        </c15:formulaRef>
                      </c:ext>
                    </c:extLst>
                    <c:strCache>
                      <c:ptCount val="1"/>
                      <c:pt idx="0">
                        <c:v>1100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Hoja3!$C$34:$P$34</c15:sqref>
                        </c15:fullRef>
                        <c15:formulaRef>
                          <c15:sqref>Hoja3!$M$34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D30-4452-8069-0F81F609AD3C}"/>
                  </c:ext>
                </c:extLst>
              </c15:ser>
            </c15:filteredBarSeries>
          </c:ext>
        </c:extLst>
      </c:barChart>
      <c:catAx>
        <c:axId val="205130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289183"/>
        <c:crosses val="autoZero"/>
        <c:auto val="1"/>
        <c:lblAlgn val="ctr"/>
        <c:lblOffset val="100"/>
        <c:noMultiLvlLbl val="0"/>
      </c:catAx>
      <c:valAx>
        <c:axId val="20512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30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OPERATIVA</a:t>
            </a:r>
            <a:r>
              <a:rPr lang="es-ES" baseline="0"/>
              <a:t> 1200 KMS</a:t>
            </a:r>
            <a:endParaRPr lang="es-ES"/>
          </a:p>
        </c:rich>
      </c:tx>
      <c:layout>
        <c:manualLayout>
          <c:xMode val="edge"/>
          <c:yMode val="edge"/>
          <c:x val="0.37250388802488327"/>
          <c:y val="2.6872157561827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Hoja3!$B$27</c:f>
              <c:strCache>
                <c:ptCount val="1"/>
                <c:pt idx="0">
                  <c:v>H2 (5€)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Hoja3!$N$21</c:f>
              <c:strCache>
                <c:ptCount val="1"/>
                <c:pt idx="0">
                  <c:v>1200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Hoja3!$C$27:$P$27</c15:sqref>
                  </c15:fullRef>
                </c:ext>
              </c:extLst>
              <c:f>Hoja3!$N$27</c:f>
              <c:numCache>
                <c:formatCode>0%</c:formatCode>
                <c:ptCount val="1"/>
                <c:pt idx="0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0-4E4B-9EB8-ECE42DBA47A1}"/>
            </c:ext>
          </c:extLst>
        </c:ser>
        <c:ser>
          <c:idx val="7"/>
          <c:order val="7"/>
          <c:tx>
            <c:strRef>
              <c:f>Hoja3!$B$29</c:f>
              <c:strCache>
                <c:ptCount val="1"/>
                <c:pt idx="0">
                  <c:v>H2 (3€)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Hoja3!$N$21</c:f>
              <c:strCache>
                <c:ptCount val="1"/>
                <c:pt idx="0">
                  <c:v>1200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Hoja3!$C$29:$P$29</c15:sqref>
                  </c15:fullRef>
                </c:ext>
              </c:extLst>
              <c:f>Hoja3!$N$29</c:f>
              <c:numCache>
                <c:formatCode>0%</c:formatCode>
                <c:ptCount val="1"/>
                <c:pt idx="0">
                  <c:v>0.27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D9A0-4E4B-9EB8-ECE42DBA47A1}"/>
            </c:ext>
          </c:extLst>
        </c:ser>
        <c:ser>
          <c:idx val="10"/>
          <c:order val="10"/>
          <c:tx>
            <c:strRef>
              <c:f>Hoja3!$B$32</c:f>
              <c:strCache>
                <c:ptCount val="1"/>
                <c:pt idx="0">
                  <c:v>GAS NATURAL  (0,6 €)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Hoja3!$N$21</c:f>
              <c:strCache>
                <c:ptCount val="1"/>
                <c:pt idx="0">
                  <c:v>1200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Hoja3!$C$32:$P$32</c15:sqref>
                  </c15:fullRef>
                </c:ext>
              </c:extLst>
              <c:f>Hoja3!$N$32</c:f>
              <c:numCache>
                <c:formatCode>0%</c:formatCode>
                <c:ptCount val="1"/>
                <c:pt idx="0">
                  <c:v>-0.06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A0-4E4B-9EB8-ECE42DBA4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309567"/>
        <c:axId val="20512891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Hoja3!$B$22</c15:sqref>
                        </c15:formulaRef>
                      </c:ext>
                    </c:extLst>
                    <c:strCache>
                      <c:ptCount val="1"/>
                      <c:pt idx="0">
                        <c:v>H2 (10€)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Hoja3!$C$21:$P$21</c15:sqref>
                        </c15:fullRef>
                        <c15:formulaRef>
                          <c15:sqref>Hoja3!$N$21</c15:sqref>
                        </c15:formulaRef>
                      </c:ext>
                    </c:extLst>
                    <c:strCache>
                      <c:ptCount val="1"/>
                      <c:pt idx="0">
                        <c:v>1200 kms/day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Hoja3!$C$22:$P$22</c15:sqref>
                        </c15:fullRef>
                        <c15:formulaRef>
                          <c15:sqref>Hoja3!$N$22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1.18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D9A0-4E4B-9EB8-ECE42DBA47A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Hoja3!$B$23</c15:sqref>
                        </c15:formulaRef>
                      </c:ext>
                    </c:extLst>
                    <c:strCache>
                      <c:ptCount val="1"/>
                      <c:pt idx="0">
                        <c:v>H2 (9€)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Hoja3!$N$21</c15:sqref>
                        </c15:formulaRef>
                      </c:ext>
                    </c:extLst>
                    <c:strCache>
                      <c:ptCount val="1"/>
                      <c:pt idx="0">
                        <c:v>1200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Hoja3!$C$23:$P$23</c15:sqref>
                        </c15:fullRef>
                        <c15:formulaRef>
                          <c15:sqref>Hoja3!$N$23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9A0-4E4B-9EB8-ECE42DBA47A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Hoja3!$B$24</c15:sqref>
                        </c15:formulaRef>
                      </c:ext>
                    </c:extLst>
                    <c:strCache>
                      <c:ptCount val="1"/>
                      <c:pt idx="0">
                        <c:v>H2 (8€)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Hoja3!$N$21</c15:sqref>
                        </c15:formulaRef>
                      </c:ext>
                    </c:extLst>
                    <c:strCache>
                      <c:ptCount val="1"/>
                      <c:pt idx="0">
                        <c:v>1200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Hoja3!$C$24:$P$24</c15:sqref>
                        </c15:fullRef>
                        <c15:formulaRef>
                          <c15:sqref>Hoja3!$N$24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9A0-4E4B-9EB8-ECE42DBA47A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Hoja3!$B$25</c15:sqref>
                        </c15:formulaRef>
                      </c:ext>
                    </c:extLst>
                    <c:strCache>
                      <c:ptCount val="1"/>
                      <c:pt idx="0">
                        <c:v>H2 (7€)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Hoja3!$N$21</c15:sqref>
                        </c15:formulaRef>
                      </c:ext>
                    </c:extLst>
                    <c:strCache>
                      <c:ptCount val="1"/>
                      <c:pt idx="0">
                        <c:v>1200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Hoja3!$C$25:$P$25</c15:sqref>
                        </c15:fullRef>
                        <c15:formulaRef>
                          <c15:sqref>Hoja3!$N$25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0.79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9A0-4E4B-9EB8-ECE42DBA47A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Hoja3!$B$26</c15:sqref>
                        </c15:formulaRef>
                      </c:ext>
                    </c:extLst>
                    <c:strCache>
                      <c:ptCount val="1"/>
                      <c:pt idx="0">
                        <c:v>H2 (6€)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Hoja3!$N$21</c15:sqref>
                        </c15:formulaRef>
                      </c:ext>
                    </c:extLst>
                    <c:strCache>
                      <c:ptCount val="1"/>
                      <c:pt idx="0">
                        <c:v>1200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Hoja3!$C$26:$P$26</c15:sqref>
                        </c15:fullRef>
                        <c15:formulaRef>
                          <c15:sqref>Hoja3!$N$26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0.66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9A0-4E4B-9EB8-ECE42DBA47A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Hoja3!$B$28</c15:sqref>
                        </c15:formulaRef>
                      </c:ext>
                    </c:extLst>
                    <c:strCache>
                      <c:ptCount val="1"/>
                      <c:pt idx="0">
                        <c:v>H2 (4€)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Hoja3!$N$21</c15:sqref>
                        </c15:formulaRef>
                      </c:ext>
                    </c:extLst>
                    <c:strCache>
                      <c:ptCount val="1"/>
                      <c:pt idx="0">
                        <c:v>1200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Hoja3!$C$28:$P$28</c15:sqref>
                        </c15:fullRef>
                        <c15:formulaRef>
                          <c15:sqref>Hoja3!$N$28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9A0-4E4B-9EB8-ECE42DBA47A1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Hoja3!$B$30</c15:sqref>
                        </c15:formulaRef>
                      </c:ext>
                    </c:extLst>
                    <c:strCache>
                      <c:ptCount val="1"/>
                      <c:pt idx="0">
                        <c:v>H2 (2€)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Hoja3!$N$21</c15:sqref>
                        </c15:formulaRef>
                      </c:ext>
                    </c:extLst>
                    <c:strCache>
                      <c:ptCount val="1"/>
                      <c:pt idx="0">
                        <c:v>1200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Hoja3!$C$30:$P$30</c15:sqref>
                        </c15:fullRef>
                        <c15:formulaRef>
                          <c15:sqref>Hoja3!$N$30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0.14000000000000001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9A0-4E4B-9EB8-ECE42DBA47A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Hoja3!$B$31</c15:sqref>
                        </c15:formulaRef>
                      </c:ext>
                    </c:extLst>
                    <c:strCache>
                      <c:ptCount val="1"/>
                      <c:pt idx="0">
                        <c:v>H2 (1€)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Hoja3!$N$21</c15:sqref>
                        </c15:formulaRef>
                      </c:ext>
                    </c:extLst>
                    <c:strCache>
                      <c:ptCount val="1"/>
                      <c:pt idx="0">
                        <c:v>1200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Hoja3!$C$31:$P$31</c15:sqref>
                        </c15:fullRef>
                        <c15:formulaRef>
                          <c15:sqref>Hoja3!$N$31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9A0-4E4B-9EB8-ECE42DBA47A1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Hoja3!$B$33</c15:sqref>
                        </c15:formulaRef>
                      </c:ext>
                    </c:extLst>
                    <c:strCache>
                      <c:ptCount val="1"/>
                      <c:pt idx="0">
                        <c:v>GASOIL (0,8 €)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Hoja3!$N$21</c15:sqref>
                        </c15:formulaRef>
                      </c:ext>
                    </c:extLst>
                    <c:strCache>
                      <c:ptCount val="1"/>
                      <c:pt idx="0">
                        <c:v>1200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Hoja3!$C$33:$P$33</c15:sqref>
                        </c15:fullRef>
                        <c15:formulaRef>
                          <c15:sqref>Hoja3!$N$33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9A0-4E4B-9EB8-ECE42DBA47A1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Hoja3!$B$34</c15:sqref>
                        </c15:formulaRef>
                      </c:ext>
                    </c:extLst>
                    <c:strCache>
                      <c:ptCount val="1"/>
                      <c:pt idx="0">
                        <c:v>BIOMETANO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Hoja3!$N$21</c15:sqref>
                        </c15:formulaRef>
                      </c:ext>
                    </c:extLst>
                    <c:strCache>
                      <c:ptCount val="1"/>
                      <c:pt idx="0">
                        <c:v>1200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Hoja3!$C$34:$P$34</c15:sqref>
                        </c15:fullRef>
                        <c15:formulaRef>
                          <c15:sqref>Hoja3!$N$34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0.140625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9A0-4E4B-9EB8-ECE42DBA47A1}"/>
                  </c:ext>
                </c:extLst>
              </c15:ser>
            </c15:filteredBarSeries>
          </c:ext>
        </c:extLst>
      </c:barChart>
      <c:catAx>
        <c:axId val="205130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289183"/>
        <c:crosses val="autoZero"/>
        <c:auto val="1"/>
        <c:lblAlgn val="ctr"/>
        <c:lblOffset val="100"/>
        <c:noMultiLvlLbl val="0"/>
      </c:catAx>
      <c:valAx>
        <c:axId val="20512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30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OPERATIVA</a:t>
            </a:r>
            <a:r>
              <a:rPr lang="es-ES" baseline="0"/>
              <a:t> 1300 KMS</a:t>
            </a:r>
            <a:endParaRPr lang="es-ES"/>
          </a:p>
        </c:rich>
      </c:tx>
      <c:layout>
        <c:manualLayout>
          <c:xMode val="edge"/>
          <c:yMode val="edge"/>
          <c:x val="0.37250388802488327"/>
          <c:y val="2.6872157561827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Hoja3!$B$27</c:f>
              <c:strCache>
                <c:ptCount val="1"/>
                <c:pt idx="0">
                  <c:v>H2 (5€)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Hoja3!$O$21</c:f>
              <c:strCache>
                <c:ptCount val="1"/>
                <c:pt idx="0">
                  <c:v>1300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Hoja3!$C$27:$P$27</c15:sqref>
                  </c15:fullRef>
                </c:ext>
              </c:extLst>
              <c:f>Hoja3!$O$27</c:f>
              <c:numCache>
                <c:formatCode>0%</c:formatCode>
                <c:ptCount val="1"/>
                <c:pt idx="0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7-4D56-80F5-AC22F338AB0C}"/>
            </c:ext>
          </c:extLst>
        </c:ser>
        <c:ser>
          <c:idx val="7"/>
          <c:order val="7"/>
          <c:tx>
            <c:strRef>
              <c:f>Hoja3!$B$29</c:f>
              <c:strCache>
                <c:ptCount val="1"/>
                <c:pt idx="0">
                  <c:v>H2 (3€)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Hoja3!$O$21</c:f>
              <c:strCache>
                <c:ptCount val="1"/>
                <c:pt idx="0">
                  <c:v>1300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Hoja3!$C$29:$P$29</c15:sqref>
                  </c15:fullRef>
                </c:ext>
              </c:extLst>
              <c:f>Hoja3!$O$29</c:f>
              <c:numCache>
                <c:formatCode>0%</c:formatCode>
                <c:ptCount val="1"/>
                <c:pt idx="0">
                  <c:v>0.26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8BC7-4D56-80F5-AC22F338AB0C}"/>
            </c:ext>
          </c:extLst>
        </c:ser>
        <c:ser>
          <c:idx val="10"/>
          <c:order val="10"/>
          <c:tx>
            <c:strRef>
              <c:f>Hoja3!$B$32</c:f>
              <c:strCache>
                <c:ptCount val="1"/>
                <c:pt idx="0">
                  <c:v>GAS NATURAL  (0,6 €)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Hoja3!$O$21</c:f>
              <c:strCache>
                <c:ptCount val="1"/>
                <c:pt idx="0">
                  <c:v>1300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Hoja3!$C$32:$P$32</c15:sqref>
                  </c15:fullRef>
                </c:ext>
              </c:extLst>
              <c:f>Hoja3!$O$32</c:f>
              <c:numCache>
                <c:formatCode>0%</c:formatCode>
                <c:ptCount val="1"/>
                <c:pt idx="0">
                  <c:v>-7.0000000000000007E-2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C7-4D56-80F5-AC22F338A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309567"/>
        <c:axId val="20512891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Hoja3!$B$22</c15:sqref>
                        </c15:formulaRef>
                      </c:ext>
                    </c:extLst>
                    <c:strCache>
                      <c:ptCount val="1"/>
                      <c:pt idx="0">
                        <c:v>H2 (10€)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Hoja3!$C$21:$P$21</c15:sqref>
                        </c15:fullRef>
                        <c15:formulaRef>
                          <c15:sqref>Hoja3!$O$21</c15:sqref>
                        </c15:formulaRef>
                      </c:ext>
                    </c:extLst>
                    <c:strCache>
                      <c:ptCount val="1"/>
                      <c:pt idx="0">
                        <c:v>1300 kms/day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Hoja3!$C$22:$P$22</c15:sqref>
                        </c15:fullRef>
                        <c15:formulaRef>
                          <c15:sqref>Hoja3!$O$22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BC7-4D56-80F5-AC22F338AB0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Hoja3!$B$23</c15:sqref>
                        </c15:formulaRef>
                      </c:ext>
                    </c:extLst>
                    <c:strCache>
                      <c:ptCount val="1"/>
                      <c:pt idx="0">
                        <c:v>H2 (9€)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Hoja3!$O$21</c15:sqref>
                        </c15:formulaRef>
                      </c:ext>
                    </c:extLst>
                    <c:strCache>
                      <c:ptCount val="1"/>
                      <c:pt idx="0">
                        <c:v>1300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Hoja3!$C$23:$P$23</c15:sqref>
                        </c15:fullRef>
                        <c15:formulaRef>
                          <c15:sqref>Hoja3!$O$23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1.07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BC7-4D56-80F5-AC22F338AB0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Hoja3!$B$24</c15:sqref>
                        </c15:formulaRef>
                      </c:ext>
                    </c:extLst>
                    <c:strCache>
                      <c:ptCount val="1"/>
                      <c:pt idx="0">
                        <c:v>H2 (8€)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Hoja3!$O$21</c15:sqref>
                        </c15:formulaRef>
                      </c:ext>
                    </c:extLst>
                    <c:strCache>
                      <c:ptCount val="1"/>
                      <c:pt idx="0">
                        <c:v>1300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Hoja3!$C$24:$P$24</c15:sqref>
                        </c15:fullRef>
                        <c15:formulaRef>
                          <c15:sqref>Hoja3!$O$24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0.94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BC7-4D56-80F5-AC22F338AB0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Hoja3!$B$25</c15:sqref>
                        </c15:formulaRef>
                      </c:ext>
                    </c:extLst>
                    <c:strCache>
                      <c:ptCount val="1"/>
                      <c:pt idx="0">
                        <c:v>H2 (7€)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Hoja3!$O$21</c15:sqref>
                        </c15:formulaRef>
                      </c:ext>
                    </c:extLst>
                    <c:strCache>
                      <c:ptCount val="1"/>
                      <c:pt idx="0">
                        <c:v>1300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Hoja3!$C$25:$P$25</c15:sqref>
                        </c15:fullRef>
                        <c15:formulaRef>
                          <c15:sqref>Hoja3!$O$25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BC7-4D56-80F5-AC22F338AB0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Hoja3!$B$26</c15:sqref>
                        </c15:formulaRef>
                      </c:ext>
                    </c:extLst>
                    <c:strCache>
                      <c:ptCount val="1"/>
                      <c:pt idx="0">
                        <c:v>H2 (6€)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Hoja3!$O$21</c15:sqref>
                        </c15:formulaRef>
                      </c:ext>
                    </c:extLst>
                    <c:strCache>
                      <c:ptCount val="1"/>
                      <c:pt idx="0">
                        <c:v>1300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Hoja3!$C$26:$P$26</c15:sqref>
                        </c15:fullRef>
                        <c15:formulaRef>
                          <c15:sqref>Hoja3!$O$26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0.66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BC7-4D56-80F5-AC22F338AB0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Hoja3!$B$28</c15:sqref>
                        </c15:formulaRef>
                      </c:ext>
                    </c:extLst>
                    <c:strCache>
                      <c:ptCount val="1"/>
                      <c:pt idx="0">
                        <c:v>H2 (4€)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Hoja3!$O$21</c15:sqref>
                        </c15:formulaRef>
                      </c:ext>
                    </c:extLst>
                    <c:strCache>
                      <c:ptCount val="1"/>
                      <c:pt idx="0">
                        <c:v>1300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Hoja3!$C$28:$P$28</c15:sqref>
                        </c15:fullRef>
                        <c15:formulaRef>
                          <c15:sqref>Hoja3!$O$28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0.39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BC7-4D56-80F5-AC22F338AB0C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Hoja3!$B$30</c15:sqref>
                        </c15:formulaRef>
                      </c:ext>
                    </c:extLst>
                    <c:strCache>
                      <c:ptCount val="1"/>
                      <c:pt idx="0">
                        <c:v>H2 (2€)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Hoja3!$O$21</c15:sqref>
                        </c15:formulaRef>
                      </c:ext>
                    </c:extLst>
                    <c:strCache>
                      <c:ptCount val="1"/>
                      <c:pt idx="0">
                        <c:v>1300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Hoja3!$C$30:$P$30</c15:sqref>
                        </c15:fullRef>
                        <c15:formulaRef>
                          <c15:sqref>Hoja3!$O$30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BC7-4D56-80F5-AC22F338AB0C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Hoja3!$B$31</c15:sqref>
                        </c15:formulaRef>
                      </c:ext>
                    </c:extLst>
                    <c:strCache>
                      <c:ptCount val="1"/>
                      <c:pt idx="0">
                        <c:v>H2 (1€)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Hoja3!$O$21</c15:sqref>
                        </c15:formulaRef>
                      </c:ext>
                    </c:extLst>
                    <c:strCache>
                      <c:ptCount val="1"/>
                      <c:pt idx="0">
                        <c:v>1300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Hoja3!$C$31:$P$31</c15:sqref>
                        </c15:fullRef>
                        <c15:formulaRef>
                          <c15:sqref>Hoja3!$O$31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-0.02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BC7-4D56-80F5-AC22F338AB0C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Hoja3!$B$33</c15:sqref>
                        </c15:formulaRef>
                      </c:ext>
                    </c:extLst>
                    <c:strCache>
                      <c:ptCount val="1"/>
                      <c:pt idx="0">
                        <c:v>GASOIL (0,8 €)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Hoja3!$O$21</c15:sqref>
                        </c15:formulaRef>
                      </c:ext>
                    </c:extLst>
                    <c:strCache>
                      <c:ptCount val="1"/>
                      <c:pt idx="0">
                        <c:v>1300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Hoja3!$C$33:$P$33</c15:sqref>
                        </c15:fullRef>
                        <c15:formulaRef>
                          <c15:sqref>Hoja3!$O$33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BC7-4D56-80F5-AC22F338AB0C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Hoja3!$B$34</c15:sqref>
                        </c15:formulaRef>
                      </c:ext>
                    </c:extLst>
                    <c:strCache>
                      <c:ptCount val="1"/>
                      <c:pt idx="0">
                        <c:v>BIOMETANO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Hoja3!$O$21</c15:sqref>
                        </c15:formulaRef>
                      </c:ext>
                    </c:extLst>
                    <c:strCache>
                      <c:ptCount val="1"/>
                      <c:pt idx="0">
                        <c:v>1300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Hoja3!$C$34:$P$34</c15:sqref>
                        </c15:fullRef>
                        <c15:formulaRef>
                          <c15:sqref>Hoja3!$O$34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0.13114754098360648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BC7-4D56-80F5-AC22F338AB0C}"/>
                  </c:ext>
                </c:extLst>
              </c15:ser>
            </c15:filteredBarSeries>
          </c:ext>
        </c:extLst>
      </c:barChart>
      <c:catAx>
        <c:axId val="205130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289183"/>
        <c:crosses val="autoZero"/>
        <c:auto val="1"/>
        <c:lblAlgn val="ctr"/>
        <c:lblOffset val="100"/>
        <c:noMultiLvlLbl val="0"/>
      </c:catAx>
      <c:valAx>
        <c:axId val="20512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30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OPERATIVA</a:t>
            </a:r>
            <a:r>
              <a:rPr lang="es-ES" baseline="0"/>
              <a:t> 1400 KMS</a:t>
            </a:r>
            <a:endParaRPr lang="es-ES"/>
          </a:p>
        </c:rich>
      </c:tx>
      <c:layout>
        <c:manualLayout>
          <c:xMode val="edge"/>
          <c:yMode val="edge"/>
          <c:x val="0.37250388802488327"/>
          <c:y val="2.6872157561827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Hoja3!$B$27</c:f>
              <c:strCache>
                <c:ptCount val="1"/>
                <c:pt idx="0">
                  <c:v>H2 (5€)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Hoja3!$P$21</c:f>
              <c:strCache>
                <c:ptCount val="1"/>
                <c:pt idx="0">
                  <c:v>1400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Hoja3!$C$27:$P$27</c15:sqref>
                  </c15:fullRef>
                </c:ext>
              </c:extLst>
              <c:f>Hoja3!$P$27</c:f>
              <c:numCache>
                <c:formatCode>0%</c:formatCode>
                <c:ptCount val="1"/>
                <c:pt idx="0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4-47EF-858A-DC1FEFC16500}"/>
            </c:ext>
          </c:extLst>
        </c:ser>
        <c:ser>
          <c:idx val="7"/>
          <c:order val="7"/>
          <c:tx>
            <c:strRef>
              <c:f>Hoja3!$B$29</c:f>
              <c:strCache>
                <c:ptCount val="1"/>
                <c:pt idx="0">
                  <c:v>H2 (3€)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Hoja3!$P$21</c:f>
              <c:strCache>
                <c:ptCount val="1"/>
                <c:pt idx="0">
                  <c:v>1400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Hoja3!$C$29:$P$29</c15:sqref>
                  </c15:fullRef>
                </c:ext>
              </c:extLst>
              <c:f>Hoja3!$P$29</c:f>
              <c:numCache>
                <c:formatCode>0%</c:formatCode>
                <c:ptCount val="1"/>
                <c:pt idx="0">
                  <c:v>0.25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9BF4-47EF-858A-DC1FEFC16500}"/>
            </c:ext>
          </c:extLst>
        </c:ser>
        <c:ser>
          <c:idx val="10"/>
          <c:order val="10"/>
          <c:tx>
            <c:strRef>
              <c:f>Hoja3!$B$32</c:f>
              <c:strCache>
                <c:ptCount val="1"/>
                <c:pt idx="0">
                  <c:v>GAS NATURAL  (0,6 €)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Hoja3!$C$21:$P$21</c15:sqref>
                  </c15:fullRef>
                </c:ext>
              </c:extLst>
              <c:f>Hoja3!$P$21</c:f>
              <c:strCache>
                <c:ptCount val="1"/>
                <c:pt idx="0">
                  <c:v>1400 kms/day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Hoja3!$C$32:$P$32</c15:sqref>
                  </c15:fullRef>
                </c:ext>
              </c:extLst>
              <c:f>Hoja3!$P$32</c:f>
              <c:numCache>
                <c:formatCode>0%</c:formatCode>
                <c:ptCount val="1"/>
                <c:pt idx="0">
                  <c:v>-0.08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F4-47EF-858A-DC1FEFC16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309567"/>
        <c:axId val="20512891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Hoja3!$B$22</c15:sqref>
                        </c15:formulaRef>
                      </c:ext>
                    </c:extLst>
                    <c:strCache>
                      <c:ptCount val="1"/>
                      <c:pt idx="0">
                        <c:v>H2 (10€)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Hoja3!$C$21:$P$21</c15:sqref>
                        </c15:fullRef>
                        <c15:formulaRef>
                          <c15:sqref>Hoja3!$P$21</c15:sqref>
                        </c15:formulaRef>
                      </c:ext>
                    </c:extLst>
                    <c:strCache>
                      <c:ptCount val="1"/>
                      <c:pt idx="0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Hoja3!$C$22:$P$22</c15:sqref>
                        </c15:fullRef>
                        <c15:formulaRef>
                          <c15:sqref>Hoja3!$P$22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BF4-47EF-858A-DC1FEFC1650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Hoja3!$B$23</c15:sqref>
                        </c15:formulaRef>
                      </c:ext>
                    </c:extLst>
                    <c:strCache>
                      <c:ptCount val="1"/>
                      <c:pt idx="0">
                        <c:v>H2 (9€)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Hoja3!$P$21</c15:sqref>
                        </c15:formulaRef>
                      </c:ext>
                    </c:extLst>
                    <c:strCache>
                      <c:ptCount val="1"/>
                      <c:pt idx="0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Hoja3!$C$23:$P$23</c15:sqref>
                        </c15:fullRef>
                        <c15:formulaRef>
                          <c15:sqref>Hoja3!$P$23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1.0900000000000001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BF4-47EF-858A-DC1FEFC1650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Hoja3!$B$24</c15:sqref>
                        </c15:formulaRef>
                      </c:ext>
                    </c:extLst>
                    <c:strCache>
                      <c:ptCount val="1"/>
                      <c:pt idx="0">
                        <c:v>H2 (8€)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Hoja3!$P$21</c15:sqref>
                        </c15:formulaRef>
                      </c:ext>
                    </c:extLst>
                    <c:strCache>
                      <c:ptCount val="1"/>
                      <c:pt idx="0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Hoja3!$C$24:$P$24</c15:sqref>
                        </c15:fullRef>
                        <c15:formulaRef>
                          <c15:sqref>Hoja3!$P$24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BF4-47EF-858A-DC1FEFC1650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Hoja3!$B$25</c15:sqref>
                        </c15:formulaRef>
                      </c:ext>
                    </c:extLst>
                    <c:strCache>
                      <c:ptCount val="1"/>
                      <c:pt idx="0">
                        <c:v>H2 (7€)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Hoja3!$P$21</c15:sqref>
                        </c15:formulaRef>
                      </c:ext>
                    </c:extLst>
                    <c:strCache>
                      <c:ptCount val="1"/>
                      <c:pt idx="0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Hoja3!$C$25:$P$25</c15:sqref>
                        </c15:fullRef>
                        <c15:formulaRef>
                          <c15:sqref>Hoja3!$P$25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0.81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BF4-47EF-858A-DC1FEFC1650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Hoja3!$B$26</c15:sqref>
                        </c15:formulaRef>
                      </c:ext>
                    </c:extLst>
                    <c:strCache>
                      <c:ptCount val="1"/>
                      <c:pt idx="0">
                        <c:v>H2 (6€)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Hoja3!$P$21</c15:sqref>
                        </c15:formulaRef>
                      </c:ext>
                    </c:extLst>
                    <c:strCache>
                      <c:ptCount val="1"/>
                      <c:pt idx="0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Hoja3!$C$26:$P$26</c15:sqref>
                        </c15:fullRef>
                        <c15:formulaRef>
                          <c15:sqref>Hoja3!$P$26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BF4-47EF-858A-DC1FEFC1650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Hoja3!$B$28</c15:sqref>
                        </c15:formulaRef>
                      </c:ext>
                    </c:extLst>
                    <c:strCache>
                      <c:ptCount val="1"/>
                      <c:pt idx="0">
                        <c:v>H2 (4€)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Hoja3!$P$21</c15:sqref>
                        </c15:formulaRef>
                      </c:ext>
                    </c:extLst>
                    <c:strCache>
                      <c:ptCount val="1"/>
                      <c:pt idx="0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Hoja3!$C$28:$P$28</c15:sqref>
                        </c15:fullRef>
                        <c15:formulaRef>
                          <c15:sqref>Hoja3!$P$28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0.39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BF4-47EF-858A-DC1FEFC1650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Hoja3!$B$30</c15:sqref>
                        </c15:formulaRef>
                      </c:ext>
                    </c:extLst>
                    <c:strCache>
                      <c:ptCount val="1"/>
                      <c:pt idx="0">
                        <c:v>H2 (2€)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Hoja3!$P$21</c15:sqref>
                        </c15:formulaRef>
                      </c:ext>
                    </c:extLst>
                    <c:strCache>
                      <c:ptCount val="1"/>
                      <c:pt idx="0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Hoja3!$C$30:$P$30</c15:sqref>
                        </c15:fullRef>
                        <c15:formulaRef>
                          <c15:sqref>Hoja3!$P$30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BF4-47EF-858A-DC1FEFC16500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Hoja3!$B$31</c15:sqref>
                        </c15:formulaRef>
                      </c:ext>
                    </c:extLst>
                    <c:strCache>
                      <c:ptCount val="1"/>
                      <c:pt idx="0">
                        <c:v>H2 (1€)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Hoja3!$P$21</c15:sqref>
                        </c15:formulaRef>
                      </c:ext>
                    </c:extLst>
                    <c:strCache>
                      <c:ptCount val="1"/>
                      <c:pt idx="0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Hoja3!$C$31:$P$31</c15:sqref>
                        </c15:fullRef>
                        <c15:formulaRef>
                          <c15:sqref>Hoja3!$P$31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-0.04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BF4-47EF-858A-DC1FEFC16500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Hoja3!$B$33</c15:sqref>
                        </c15:formulaRef>
                      </c:ext>
                    </c:extLst>
                    <c:strCache>
                      <c:ptCount val="1"/>
                      <c:pt idx="0">
                        <c:v>GASOIL (0,8 €)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Hoja3!$P$21</c15:sqref>
                        </c15:formulaRef>
                      </c:ext>
                    </c:extLst>
                    <c:strCache>
                      <c:ptCount val="1"/>
                      <c:pt idx="0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Hoja3!$C$33:$P$33</c15:sqref>
                        </c15:fullRef>
                        <c15:formulaRef>
                          <c15:sqref>Hoja3!$P$33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BF4-47EF-858A-DC1FEFC16500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Hoja3!$B$34</c15:sqref>
                        </c15:formulaRef>
                      </c:ext>
                    </c:extLst>
                    <c:strCache>
                      <c:ptCount val="1"/>
                      <c:pt idx="0">
                        <c:v>BIOMETANO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Hoja3!$C$21:$P$21</c15:sqref>
                        </c15:fullRef>
                        <c15:formulaRef>
                          <c15:sqref>Hoja3!$P$21</c15:sqref>
                        </c15:formulaRef>
                      </c:ext>
                    </c:extLst>
                    <c:strCache>
                      <c:ptCount val="1"/>
                      <c:pt idx="0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Hoja3!$C$34:$P$34</c15:sqref>
                        </c15:fullRef>
                        <c15:formulaRef>
                          <c15:sqref>Hoja3!$P$34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0.13559322033898313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BF4-47EF-858A-DC1FEFC16500}"/>
                  </c:ext>
                </c:extLst>
              </c15:ser>
            </c15:filteredBarSeries>
          </c:ext>
        </c:extLst>
      </c:barChart>
      <c:catAx>
        <c:axId val="205130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289183"/>
        <c:crosses val="autoZero"/>
        <c:auto val="1"/>
        <c:lblAlgn val="ctr"/>
        <c:lblOffset val="100"/>
        <c:noMultiLvlLbl val="0"/>
      </c:catAx>
      <c:valAx>
        <c:axId val="20512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30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EXTRA COST</a:t>
            </a:r>
            <a:r>
              <a:rPr lang="es-ES" baseline="0"/>
              <a:t> OF H2 DUOTRAILER TRUCK BY DAILY MILEAGE</a:t>
            </a:r>
            <a:endParaRPr lang="es-ES"/>
          </a:p>
        </c:rich>
      </c:tx>
      <c:layout>
        <c:manualLayout>
          <c:xMode val="edge"/>
          <c:yMode val="edge"/>
          <c:x val="0.23292827575437361"/>
          <c:y val="2.4376506508115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Hoja3!$R$27</c:f>
              <c:strCache>
                <c:ptCount val="1"/>
                <c:pt idx="0">
                  <c:v>DUO H2 (5€)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Hoja3!$S$21:$AF$21</c:f>
              <c:strCache>
                <c:ptCount val="14"/>
                <c:pt idx="0">
                  <c:v>100 kms/day</c:v>
                </c:pt>
                <c:pt idx="1">
                  <c:v>200 kms/day</c:v>
                </c:pt>
                <c:pt idx="2">
                  <c:v>300 kms/day</c:v>
                </c:pt>
                <c:pt idx="3">
                  <c:v>400 kms/day</c:v>
                </c:pt>
                <c:pt idx="4">
                  <c:v>500 kms/day</c:v>
                </c:pt>
                <c:pt idx="5">
                  <c:v>600 kms/day</c:v>
                </c:pt>
                <c:pt idx="6">
                  <c:v>700 kms/day</c:v>
                </c:pt>
                <c:pt idx="7">
                  <c:v>800 kms/day</c:v>
                </c:pt>
                <c:pt idx="8">
                  <c:v>900 kms/day</c:v>
                </c:pt>
                <c:pt idx="9">
                  <c:v>1000 kms/day</c:v>
                </c:pt>
                <c:pt idx="10">
                  <c:v>1100 kms/day</c:v>
                </c:pt>
                <c:pt idx="11">
                  <c:v>1200 kms/day</c:v>
                </c:pt>
                <c:pt idx="12">
                  <c:v>1300 kms/day</c:v>
                </c:pt>
                <c:pt idx="13">
                  <c:v>1400 kms/day</c:v>
                </c:pt>
              </c:strCache>
            </c:strRef>
          </c:cat>
          <c:val>
            <c:numRef>
              <c:f>Hoja3!$S$27:$AF$27</c:f>
              <c:numCache>
                <c:formatCode>0%</c:formatCode>
                <c:ptCount val="14"/>
                <c:pt idx="0">
                  <c:v>0.13141025641025639</c:v>
                </c:pt>
                <c:pt idx="1">
                  <c:v>0.13529411764705879</c:v>
                </c:pt>
                <c:pt idx="2">
                  <c:v>0.13821138211382111</c:v>
                </c:pt>
                <c:pt idx="3">
                  <c:v>0.15151515151515138</c:v>
                </c:pt>
                <c:pt idx="4">
                  <c:v>0.15294117647058814</c:v>
                </c:pt>
                <c:pt idx="5">
                  <c:v>0.14473684210526305</c:v>
                </c:pt>
                <c:pt idx="6">
                  <c:v>0.15942028985507273</c:v>
                </c:pt>
                <c:pt idx="7">
                  <c:v>2.4390243902439046E-2</c:v>
                </c:pt>
                <c:pt idx="8">
                  <c:v>3.9473684210526327E-2</c:v>
                </c:pt>
                <c:pt idx="9">
                  <c:v>4.2253521126760507E-2</c:v>
                </c:pt>
                <c:pt idx="10">
                  <c:v>4.4776119402984982E-2</c:v>
                </c:pt>
                <c:pt idx="11">
                  <c:v>4.6875E-2</c:v>
                </c:pt>
                <c:pt idx="12">
                  <c:v>6.5573770491803351E-2</c:v>
                </c:pt>
                <c:pt idx="13">
                  <c:v>6.7796610169491567E-2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30-48DA-8677-CC1705397A17}"/>
            </c:ext>
          </c:extLst>
        </c:ser>
        <c:ser>
          <c:idx val="6"/>
          <c:order val="6"/>
          <c:tx>
            <c:strRef>
              <c:f>Hoja3!$R$28</c:f>
              <c:strCache>
                <c:ptCount val="1"/>
                <c:pt idx="0">
                  <c:v>DUO H2 (4€)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Hoja3!$S$21:$AF$21</c:f>
              <c:strCache>
                <c:ptCount val="14"/>
                <c:pt idx="0">
                  <c:v>100 kms/day</c:v>
                </c:pt>
                <c:pt idx="1">
                  <c:v>200 kms/day</c:v>
                </c:pt>
                <c:pt idx="2">
                  <c:v>300 kms/day</c:v>
                </c:pt>
                <c:pt idx="3">
                  <c:v>400 kms/day</c:v>
                </c:pt>
                <c:pt idx="4">
                  <c:v>500 kms/day</c:v>
                </c:pt>
                <c:pt idx="5">
                  <c:v>600 kms/day</c:v>
                </c:pt>
                <c:pt idx="6">
                  <c:v>700 kms/day</c:v>
                </c:pt>
                <c:pt idx="7">
                  <c:v>800 kms/day</c:v>
                </c:pt>
                <c:pt idx="8">
                  <c:v>900 kms/day</c:v>
                </c:pt>
                <c:pt idx="9">
                  <c:v>1000 kms/day</c:v>
                </c:pt>
                <c:pt idx="10">
                  <c:v>1100 kms/day</c:v>
                </c:pt>
                <c:pt idx="11">
                  <c:v>1200 kms/day</c:v>
                </c:pt>
                <c:pt idx="12">
                  <c:v>1300 kms/day</c:v>
                </c:pt>
                <c:pt idx="13">
                  <c:v>1400 kms/day</c:v>
                </c:pt>
              </c:strCache>
            </c:strRef>
          </c:cat>
          <c:val>
            <c:numRef>
              <c:f>Hoja3!$S$28:$AF$28</c:f>
              <c:numCache>
                <c:formatCode>0%</c:formatCode>
                <c:ptCount val="14"/>
                <c:pt idx="0">
                  <c:v>0.10897435897435903</c:v>
                </c:pt>
                <c:pt idx="1">
                  <c:v>0.10000000000000009</c:v>
                </c:pt>
                <c:pt idx="2">
                  <c:v>8.9430894308943243E-2</c:v>
                </c:pt>
                <c:pt idx="3">
                  <c:v>8.0808080808080884E-2</c:v>
                </c:pt>
                <c:pt idx="4">
                  <c:v>8.235294117647074E-2</c:v>
                </c:pt>
                <c:pt idx="5">
                  <c:v>6.578947368421062E-2</c:v>
                </c:pt>
                <c:pt idx="6">
                  <c:v>5.7971014492753659E-2</c:v>
                </c:pt>
                <c:pt idx="7">
                  <c:v>-4.8780487804877981E-2</c:v>
                </c:pt>
                <c:pt idx="8">
                  <c:v>-5.2631578947368474E-2</c:v>
                </c:pt>
                <c:pt idx="9">
                  <c:v>-4.2253521126760396E-2</c:v>
                </c:pt>
                <c:pt idx="10">
                  <c:v>-4.4776119402985093E-2</c:v>
                </c:pt>
                <c:pt idx="11">
                  <c:v>-4.6875E-2</c:v>
                </c:pt>
                <c:pt idx="12">
                  <c:v>-4.9180327868852514E-2</c:v>
                </c:pt>
                <c:pt idx="13">
                  <c:v>-5.0847457627118509E-2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30-48DA-8677-CC1705397A17}"/>
            </c:ext>
          </c:extLst>
        </c:ser>
        <c:ser>
          <c:idx val="7"/>
          <c:order val="7"/>
          <c:tx>
            <c:strRef>
              <c:f>Hoja3!$R$29</c:f>
              <c:strCache>
                <c:ptCount val="1"/>
                <c:pt idx="0">
                  <c:v>DUO H2 (3€)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Hoja3!$S$21:$AF$21</c:f>
              <c:strCache>
                <c:ptCount val="14"/>
                <c:pt idx="0">
                  <c:v>100 kms/day</c:v>
                </c:pt>
                <c:pt idx="1">
                  <c:v>200 kms/day</c:v>
                </c:pt>
                <c:pt idx="2">
                  <c:v>300 kms/day</c:v>
                </c:pt>
                <c:pt idx="3">
                  <c:v>400 kms/day</c:v>
                </c:pt>
                <c:pt idx="4">
                  <c:v>500 kms/day</c:v>
                </c:pt>
                <c:pt idx="5">
                  <c:v>600 kms/day</c:v>
                </c:pt>
                <c:pt idx="6">
                  <c:v>700 kms/day</c:v>
                </c:pt>
                <c:pt idx="7">
                  <c:v>800 kms/day</c:v>
                </c:pt>
                <c:pt idx="8">
                  <c:v>900 kms/day</c:v>
                </c:pt>
                <c:pt idx="9">
                  <c:v>1000 kms/day</c:v>
                </c:pt>
                <c:pt idx="10">
                  <c:v>1100 kms/day</c:v>
                </c:pt>
                <c:pt idx="11">
                  <c:v>1200 kms/day</c:v>
                </c:pt>
                <c:pt idx="12">
                  <c:v>1300 kms/day</c:v>
                </c:pt>
                <c:pt idx="13">
                  <c:v>1400 kms/day</c:v>
                </c:pt>
              </c:strCache>
            </c:strRef>
          </c:cat>
          <c:val>
            <c:numRef>
              <c:f>Hoja3!$S$29:$AF$29</c:f>
              <c:numCache>
                <c:formatCode>0%</c:formatCode>
                <c:ptCount val="14"/>
                <c:pt idx="0">
                  <c:v>8.9743589743589647E-2</c:v>
                </c:pt>
                <c:pt idx="1">
                  <c:v>6.4705882352941169E-2</c:v>
                </c:pt>
                <c:pt idx="2">
                  <c:v>4.0650406504065151E-2</c:v>
                </c:pt>
                <c:pt idx="3">
                  <c:v>2.020202020202011E-2</c:v>
                </c:pt>
                <c:pt idx="4">
                  <c:v>0</c:v>
                </c:pt>
                <c:pt idx="5">
                  <c:v>-1.3157894736842146E-2</c:v>
                </c:pt>
                <c:pt idx="6">
                  <c:v>-2.8985507246376718E-2</c:v>
                </c:pt>
                <c:pt idx="7">
                  <c:v>-0.13414634146341464</c:v>
                </c:pt>
                <c:pt idx="8">
                  <c:v>-0.13157894736842102</c:v>
                </c:pt>
                <c:pt idx="9">
                  <c:v>-0.14084507042253513</c:v>
                </c:pt>
                <c:pt idx="10">
                  <c:v>-0.13432835820895539</c:v>
                </c:pt>
                <c:pt idx="11">
                  <c:v>-0.140625</c:v>
                </c:pt>
                <c:pt idx="12">
                  <c:v>-0.14754098360655732</c:v>
                </c:pt>
                <c:pt idx="13">
                  <c:v>-0.15254237288135586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730-48DA-8677-CC1705397A17}"/>
            </c:ext>
          </c:extLst>
        </c:ser>
        <c:ser>
          <c:idx val="8"/>
          <c:order val="8"/>
          <c:tx>
            <c:strRef>
              <c:f>Hoja3!$R$30</c:f>
              <c:strCache>
                <c:ptCount val="1"/>
                <c:pt idx="0">
                  <c:v>DUO H2 (2€)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Hoja3!$S$21:$AF$21</c:f>
              <c:strCache>
                <c:ptCount val="14"/>
                <c:pt idx="0">
                  <c:v>100 kms/day</c:v>
                </c:pt>
                <c:pt idx="1">
                  <c:v>200 kms/day</c:v>
                </c:pt>
                <c:pt idx="2">
                  <c:v>300 kms/day</c:v>
                </c:pt>
                <c:pt idx="3">
                  <c:v>400 kms/day</c:v>
                </c:pt>
                <c:pt idx="4">
                  <c:v>500 kms/day</c:v>
                </c:pt>
                <c:pt idx="5">
                  <c:v>600 kms/day</c:v>
                </c:pt>
                <c:pt idx="6">
                  <c:v>700 kms/day</c:v>
                </c:pt>
                <c:pt idx="7">
                  <c:v>800 kms/day</c:v>
                </c:pt>
                <c:pt idx="8">
                  <c:v>900 kms/day</c:v>
                </c:pt>
                <c:pt idx="9">
                  <c:v>1000 kms/day</c:v>
                </c:pt>
                <c:pt idx="10">
                  <c:v>1100 kms/day</c:v>
                </c:pt>
                <c:pt idx="11">
                  <c:v>1200 kms/day</c:v>
                </c:pt>
                <c:pt idx="12">
                  <c:v>1300 kms/day</c:v>
                </c:pt>
                <c:pt idx="13">
                  <c:v>1400 kms/day</c:v>
                </c:pt>
              </c:strCache>
            </c:strRef>
          </c:cat>
          <c:val>
            <c:numRef>
              <c:f>Hoja3!$S$30:$AF$30</c:f>
              <c:numCache>
                <c:formatCode>0%</c:formatCode>
                <c:ptCount val="14"/>
                <c:pt idx="0">
                  <c:v>6.7307692307692291E-2</c:v>
                </c:pt>
                <c:pt idx="1">
                  <c:v>2.3529411764705799E-2</c:v>
                </c:pt>
                <c:pt idx="2">
                  <c:v>-1.6260162601625994E-2</c:v>
                </c:pt>
                <c:pt idx="3">
                  <c:v>-4.0404040404040442E-2</c:v>
                </c:pt>
                <c:pt idx="4">
                  <c:v>-7.0588235294117618E-2</c:v>
                </c:pt>
                <c:pt idx="5">
                  <c:v>-0.10526315789473684</c:v>
                </c:pt>
                <c:pt idx="6">
                  <c:v>-0.13043478260869557</c:v>
                </c:pt>
                <c:pt idx="7">
                  <c:v>-0.20731707317073167</c:v>
                </c:pt>
                <c:pt idx="8">
                  <c:v>-0.22368421052631582</c:v>
                </c:pt>
                <c:pt idx="9">
                  <c:v>-0.22535211267605626</c:v>
                </c:pt>
                <c:pt idx="10">
                  <c:v>-0.23880597014925375</c:v>
                </c:pt>
                <c:pt idx="11">
                  <c:v>-0.25</c:v>
                </c:pt>
                <c:pt idx="12">
                  <c:v>-0.24590163934426224</c:v>
                </c:pt>
                <c:pt idx="13">
                  <c:v>-0.27118644067796605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D730-48DA-8677-CC1705397A17}"/>
            </c:ext>
          </c:extLst>
        </c:ser>
        <c:ser>
          <c:idx val="9"/>
          <c:order val="9"/>
          <c:tx>
            <c:strRef>
              <c:f>Hoja3!$R$31</c:f>
              <c:strCache>
                <c:ptCount val="1"/>
                <c:pt idx="0">
                  <c:v>DUO H2 (1€)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Hoja3!$S$21:$AF$21</c:f>
              <c:strCache>
                <c:ptCount val="14"/>
                <c:pt idx="0">
                  <c:v>100 kms/day</c:v>
                </c:pt>
                <c:pt idx="1">
                  <c:v>200 kms/day</c:v>
                </c:pt>
                <c:pt idx="2">
                  <c:v>300 kms/day</c:v>
                </c:pt>
                <c:pt idx="3">
                  <c:v>400 kms/day</c:v>
                </c:pt>
                <c:pt idx="4">
                  <c:v>500 kms/day</c:v>
                </c:pt>
                <c:pt idx="5">
                  <c:v>600 kms/day</c:v>
                </c:pt>
                <c:pt idx="6">
                  <c:v>700 kms/day</c:v>
                </c:pt>
                <c:pt idx="7">
                  <c:v>800 kms/day</c:v>
                </c:pt>
                <c:pt idx="8">
                  <c:v>900 kms/day</c:v>
                </c:pt>
                <c:pt idx="9">
                  <c:v>1000 kms/day</c:v>
                </c:pt>
                <c:pt idx="10">
                  <c:v>1100 kms/day</c:v>
                </c:pt>
                <c:pt idx="11">
                  <c:v>1200 kms/day</c:v>
                </c:pt>
                <c:pt idx="12">
                  <c:v>1300 kms/day</c:v>
                </c:pt>
                <c:pt idx="13">
                  <c:v>1400 kms/day</c:v>
                </c:pt>
              </c:strCache>
            </c:strRef>
          </c:cat>
          <c:val>
            <c:numRef>
              <c:f>Hoja3!$S$31:$AF$31</c:f>
              <c:numCache>
                <c:formatCode>0%</c:formatCode>
                <c:ptCount val="14"/>
                <c:pt idx="0">
                  <c:v>4.8076923076923128E-2</c:v>
                </c:pt>
                <c:pt idx="1">
                  <c:v>-1.1764705882352899E-2</c:v>
                </c:pt>
                <c:pt idx="2">
                  <c:v>-6.5040650406504086E-2</c:v>
                </c:pt>
                <c:pt idx="3">
                  <c:v>-0.11111111111111105</c:v>
                </c:pt>
                <c:pt idx="4">
                  <c:v>-0.15294117647058825</c:v>
                </c:pt>
                <c:pt idx="5">
                  <c:v>-0.18421052631578949</c:v>
                </c:pt>
                <c:pt idx="6">
                  <c:v>-0.21739130434782594</c:v>
                </c:pt>
                <c:pt idx="7">
                  <c:v>-0.29268292682926833</c:v>
                </c:pt>
                <c:pt idx="8">
                  <c:v>-0.30263157894736836</c:v>
                </c:pt>
                <c:pt idx="9">
                  <c:v>-0.323943661971831</c:v>
                </c:pt>
                <c:pt idx="10">
                  <c:v>-0.32835820895522394</c:v>
                </c:pt>
                <c:pt idx="11">
                  <c:v>-0.34375</c:v>
                </c:pt>
                <c:pt idx="12">
                  <c:v>-0.36065573770491799</c:v>
                </c:pt>
                <c:pt idx="13">
                  <c:v>-0.3728813559322034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D730-48DA-8677-CC1705397A17}"/>
            </c:ext>
          </c:extLst>
        </c:ser>
        <c:ser>
          <c:idx val="13"/>
          <c:order val="13"/>
          <c:tx>
            <c:strRef>
              <c:f>Hoja3!$R$35</c:f>
              <c:strCache>
                <c:ptCount val="1"/>
                <c:pt idx="0">
                  <c:v>DUO GASOIL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Hoja3!$S$21:$AF$21</c:f>
              <c:strCache>
                <c:ptCount val="14"/>
                <c:pt idx="0">
                  <c:v>100 kms/day</c:v>
                </c:pt>
                <c:pt idx="1">
                  <c:v>200 kms/day</c:v>
                </c:pt>
                <c:pt idx="2">
                  <c:v>300 kms/day</c:v>
                </c:pt>
                <c:pt idx="3">
                  <c:v>400 kms/day</c:v>
                </c:pt>
                <c:pt idx="4">
                  <c:v>500 kms/day</c:v>
                </c:pt>
                <c:pt idx="5">
                  <c:v>600 kms/day</c:v>
                </c:pt>
                <c:pt idx="6">
                  <c:v>700 kms/day</c:v>
                </c:pt>
                <c:pt idx="7">
                  <c:v>800 kms/day</c:v>
                </c:pt>
                <c:pt idx="8">
                  <c:v>900 kms/day</c:v>
                </c:pt>
                <c:pt idx="9">
                  <c:v>1000 kms/day</c:v>
                </c:pt>
                <c:pt idx="10">
                  <c:v>1100 kms/day</c:v>
                </c:pt>
                <c:pt idx="11">
                  <c:v>1200 kms/day</c:v>
                </c:pt>
                <c:pt idx="12">
                  <c:v>1300 kms/day</c:v>
                </c:pt>
                <c:pt idx="13">
                  <c:v>1400 kms/day</c:v>
                </c:pt>
              </c:strCache>
            </c:strRef>
          </c:cat>
          <c:val>
            <c:numRef>
              <c:f>Hoja3!$S$35:$AF$35</c:f>
              <c:numCache>
                <c:formatCode>0%</c:formatCode>
                <c:ptCount val="14"/>
                <c:pt idx="0">
                  <c:v>-0.34169278996865204</c:v>
                </c:pt>
                <c:pt idx="1">
                  <c:v>-0.31764705882352939</c:v>
                </c:pt>
                <c:pt idx="2">
                  <c:v>-0.30894308943089432</c:v>
                </c:pt>
                <c:pt idx="3">
                  <c:v>-0.30303030303030309</c:v>
                </c:pt>
                <c:pt idx="4">
                  <c:v>-0.30588235294117649</c:v>
                </c:pt>
                <c:pt idx="5">
                  <c:v>-0.30263157894736836</c:v>
                </c:pt>
                <c:pt idx="6">
                  <c:v>-0.28985507246376807</c:v>
                </c:pt>
                <c:pt idx="7">
                  <c:v>-0.32926829268292679</c:v>
                </c:pt>
                <c:pt idx="8">
                  <c:v>-0.31578947368421051</c:v>
                </c:pt>
                <c:pt idx="9">
                  <c:v>-0.3098591549295775</c:v>
                </c:pt>
                <c:pt idx="10">
                  <c:v>-0.31343283582089554</c:v>
                </c:pt>
                <c:pt idx="11">
                  <c:v>-0.3125</c:v>
                </c:pt>
                <c:pt idx="12">
                  <c:v>-0.31147540983606559</c:v>
                </c:pt>
                <c:pt idx="13">
                  <c:v>-0.30508474576271183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730-48DA-8677-CC1705397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109631"/>
        <c:axId val="8871254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Hoja3!$R$22</c15:sqref>
                        </c15:formulaRef>
                      </c:ext>
                    </c:extLst>
                    <c:strCache>
                      <c:ptCount val="1"/>
                      <c:pt idx="0">
                        <c:v>DUO H2 (10€)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Hoja3!$S$22:$AF$22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0.23397435897435903</c:v>
                      </c:pt>
                      <c:pt idx="1">
                        <c:v>0.32941176470588229</c:v>
                      </c:pt>
                      <c:pt idx="2">
                        <c:v>0.4065040650406504</c:v>
                      </c:pt>
                      <c:pt idx="3">
                        <c:v>0.4747474747474747</c:v>
                      </c:pt>
                      <c:pt idx="4">
                        <c:v>0.52941176470588247</c:v>
                      </c:pt>
                      <c:pt idx="5">
                        <c:v>0.57894736842105265</c:v>
                      </c:pt>
                      <c:pt idx="6">
                        <c:v>0.62318840579710177</c:v>
                      </c:pt>
                      <c:pt idx="7">
                        <c:v>0.41463414634146334</c:v>
                      </c:pt>
                      <c:pt idx="8">
                        <c:v>0.46052631578947389</c:v>
                      </c:pt>
                      <c:pt idx="9">
                        <c:v>0.49295774647887347</c:v>
                      </c:pt>
                      <c:pt idx="10">
                        <c:v>0.53731343283582089</c:v>
                      </c:pt>
                      <c:pt idx="11">
                        <c:v>0.5625</c:v>
                      </c:pt>
                      <c:pt idx="12">
                        <c:v>0.5901639344262295</c:v>
                      </c:pt>
                      <c:pt idx="13">
                        <c:v>0.61016949152542366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730-48DA-8677-CC1705397A1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Hoja3!$R$23</c15:sqref>
                        </c15:formulaRef>
                      </c:ext>
                    </c:extLst>
                    <c:strCache>
                      <c:ptCount val="1"/>
                      <c:pt idx="0">
                        <c:v>DUO H2 (9€)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Hoja3!$S$23:$AF$23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0.21153846153846145</c:v>
                      </c:pt>
                      <c:pt idx="1">
                        <c:v>0.28823529411764715</c:v>
                      </c:pt>
                      <c:pt idx="2">
                        <c:v>0.34959349593495936</c:v>
                      </c:pt>
                      <c:pt idx="3">
                        <c:v>0.41414141414141414</c:v>
                      </c:pt>
                      <c:pt idx="4">
                        <c:v>0.45882352941176463</c:v>
                      </c:pt>
                      <c:pt idx="5">
                        <c:v>0.48684210526315774</c:v>
                      </c:pt>
                      <c:pt idx="6">
                        <c:v>0.53623188405797118</c:v>
                      </c:pt>
                      <c:pt idx="7">
                        <c:v>0.34146341463414642</c:v>
                      </c:pt>
                      <c:pt idx="8">
                        <c:v>0.36842105263157898</c:v>
                      </c:pt>
                      <c:pt idx="9">
                        <c:v>0.40845070422535223</c:v>
                      </c:pt>
                      <c:pt idx="10">
                        <c:v>0.43283582089552231</c:v>
                      </c:pt>
                      <c:pt idx="11">
                        <c:v>0.453125</c:v>
                      </c:pt>
                      <c:pt idx="12">
                        <c:v>0.49180327868852469</c:v>
                      </c:pt>
                      <c:pt idx="13">
                        <c:v>0.50847457627118664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730-48DA-8677-CC1705397A1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Hoja3!$R$24</c15:sqref>
                        </c15:formulaRef>
                      </c:ext>
                    </c:extLst>
                    <c:strCache>
                      <c:ptCount val="1"/>
                      <c:pt idx="0">
                        <c:v>DUO H2 (8€)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Hoja3!$S$24:$AF$24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0.19230769230769229</c:v>
                      </c:pt>
                      <c:pt idx="1">
                        <c:v>0.25294117647058822</c:v>
                      </c:pt>
                      <c:pt idx="2">
                        <c:v>0.30081300813008149</c:v>
                      </c:pt>
                      <c:pt idx="3">
                        <c:v>0.34343434343434343</c:v>
                      </c:pt>
                      <c:pt idx="4">
                        <c:v>0.37647058823529411</c:v>
                      </c:pt>
                      <c:pt idx="5">
                        <c:v>0.40789473684210531</c:v>
                      </c:pt>
                      <c:pt idx="6">
                        <c:v>0.43478260869565233</c:v>
                      </c:pt>
                      <c:pt idx="7">
                        <c:v>0.30487804878048785</c:v>
                      </c:pt>
                      <c:pt idx="8">
                        <c:v>0.30263157894736836</c:v>
                      </c:pt>
                      <c:pt idx="9">
                        <c:v>0.3098591549295775</c:v>
                      </c:pt>
                      <c:pt idx="10">
                        <c:v>0.34328358208955212</c:v>
                      </c:pt>
                      <c:pt idx="11">
                        <c:v>0.359375</c:v>
                      </c:pt>
                      <c:pt idx="12">
                        <c:v>0.37704918032786883</c:v>
                      </c:pt>
                      <c:pt idx="13">
                        <c:v>0.38983050847457634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730-48DA-8677-CC1705397A1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Hoja3!$R$25</c15:sqref>
                        </c15:formulaRef>
                      </c:ext>
                    </c:extLst>
                    <c:strCache>
                      <c:ptCount val="1"/>
                      <c:pt idx="0">
                        <c:v>DUO H2 (7€)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Hoja3!$S$25:$AF$25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0.17307692307692313</c:v>
                      </c:pt>
                      <c:pt idx="1">
                        <c:v>0.21176470588235308</c:v>
                      </c:pt>
                      <c:pt idx="2">
                        <c:v>0.24390243902439024</c:v>
                      </c:pt>
                      <c:pt idx="3">
                        <c:v>0.28282828282828287</c:v>
                      </c:pt>
                      <c:pt idx="4">
                        <c:v>0.30588235294117672</c:v>
                      </c:pt>
                      <c:pt idx="5">
                        <c:v>0.31578947368421062</c:v>
                      </c:pt>
                      <c:pt idx="6">
                        <c:v>0.34782608695652195</c:v>
                      </c:pt>
                      <c:pt idx="7">
                        <c:v>0.18292682926829262</c:v>
                      </c:pt>
                      <c:pt idx="8">
                        <c:v>0.19736842105263164</c:v>
                      </c:pt>
                      <c:pt idx="9">
                        <c:v>0.22535211267605648</c:v>
                      </c:pt>
                      <c:pt idx="10">
                        <c:v>0.23880597014925353</c:v>
                      </c:pt>
                      <c:pt idx="11">
                        <c:v>0.25</c:v>
                      </c:pt>
                      <c:pt idx="12">
                        <c:v>0.27868852459016402</c:v>
                      </c:pt>
                      <c:pt idx="13">
                        <c:v>0.2881355932203391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730-48DA-8677-CC1705397A1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Hoja3!$R$26</c15:sqref>
                        </c15:formulaRef>
                      </c:ext>
                    </c:extLst>
                    <c:strCache>
                      <c:ptCount val="1"/>
                      <c:pt idx="0">
                        <c:v>DUO H2 (6€)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Hoja3!$S$26:$AF$26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0.15064102564102555</c:v>
                      </c:pt>
                      <c:pt idx="1">
                        <c:v>0.17647058823529416</c:v>
                      </c:pt>
                      <c:pt idx="2">
                        <c:v>0.19512195121951215</c:v>
                      </c:pt>
                      <c:pt idx="3">
                        <c:v>0.21212121212121215</c:v>
                      </c:pt>
                      <c:pt idx="4">
                        <c:v>0.22352941176470598</c:v>
                      </c:pt>
                      <c:pt idx="5">
                        <c:v>0.23684210526315774</c:v>
                      </c:pt>
                      <c:pt idx="6">
                        <c:v>0.24637681159420288</c:v>
                      </c:pt>
                      <c:pt idx="7">
                        <c:v>9.7560975609756184E-2</c:v>
                      </c:pt>
                      <c:pt idx="8">
                        <c:v>0.11842105263157898</c:v>
                      </c:pt>
                      <c:pt idx="9">
                        <c:v>0.14084507042253525</c:v>
                      </c:pt>
                      <c:pt idx="10">
                        <c:v>0.14925373134328357</c:v>
                      </c:pt>
                      <c:pt idx="11">
                        <c:v>0.15625</c:v>
                      </c:pt>
                      <c:pt idx="12">
                        <c:v>0.16393442622950816</c:v>
                      </c:pt>
                      <c:pt idx="13">
                        <c:v>0.16949152542372881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730-48DA-8677-CC1705397A17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Hoja3!$R$32</c15:sqref>
                        </c15:formulaRef>
                      </c:ext>
                    </c:extLst>
                    <c:strCache>
                      <c:ptCount val="1"/>
                      <c:pt idx="0">
                        <c:v>GAS NATURAL  (0,6 €)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Hoja3!$S$32:$AF$32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0.15</c:v>
                      </c:pt>
                      <c:pt idx="1">
                        <c:v>0.11</c:v>
                      </c:pt>
                      <c:pt idx="2">
                        <c:v>0.08</c:v>
                      </c:pt>
                      <c:pt idx="3">
                        <c:v>0.05</c:v>
                      </c:pt>
                      <c:pt idx="4">
                        <c:v>0.02</c:v>
                      </c:pt>
                      <c:pt idx="5">
                        <c:v>0</c:v>
                      </c:pt>
                      <c:pt idx="6">
                        <c:v>-0.02</c:v>
                      </c:pt>
                      <c:pt idx="7">
                        <c:v>-0.01</c:v>
                      </c:pt>
                      <c:pt idx="8">
                        <c:v>-0.02</c:v>
                      </c:pt>
                      <c:pt idx="9">
                        <c:v>-0.04</c:v>
                      </c:pt>
                      <c:pt idx="10">
                        <c:v>-0.05</c:v>
                      </c:pt>
                      <c:pt idx="11">
                        <c:v>-0.06</c:v>
                      </c:pt>
                      <c:pt idx="12">
                        <c:v>-7.0000000000000007E-2</c:v>
                      </c:pt>
                      <c:pt idx="13">
                        <c:v>-0.08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730-48DA-8677-CC1705397A17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Hoja3!$R$33</c15:sqref>
                        </c15:formulaRef>
                      </c:ext>
                    </c:extLst>
                    <c:strCache>
                      <c:ptCount val="1"/>
                      <c:pt idx="0">
                        <c:v>GASOIL (0,8 €)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Hoja3!$S$33:$AF$33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730-48DA-8677-CC1705397A17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Hoja3!$R$34</c15:sqref>
                        </c15:formulaRef>
                      </c:ext>
                    </c:extLst>
                    <c:strCache>
                      <c:ptCount val="1"/>
                      <c:pt idx="0">
                        <c:v>BIOMETANO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Hoja3!$S$34:$AF$34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0.19230769230769229</c:v>
                      </c:pt>
                      <c:pt idx="1">
                        <c:v>0.18235294117647038</c:v>
                      </c:pt>
                      <c:pt idx="2">
                        <c:v>0.17886178861788626</c:v>
                      </c:pt>
                      <c:pt idx="3">
                        <c:v>0.17171717171717171</c:v>
                      </c:pt>
                      <c:pt idx="4">
                        <c:v>0.16470588235294126</c:v>
                      </c:pt>
                      <c:pt idx="5">
                        <c:v>0.15789473684210531</c:v>
                      </c:pt>
                      <c:pt idx="6">
                        <c:v>0.15942028985507273</c:v>
                      </c:pt>
                      <c:pt idx="7">
                        <c:v>0.19</c:v>
                      </c:pt>
                      <c:pt idx="8">
                        <c:v>0.19</c:v>
                      </c:pt>
                      <c:pt idx="9">
                        <c:v>0.14084507042253525</c:v>
                      </c:pt>
                      <c:pt idx="10">
                        <c:v>0.2</c:v>
                      </c:pt>
                      <c:pt idx="11">
                        <c:v>0.140625</c:v>
                      </c:pt>
                      <c:pt idx="12">
                        <c:v>0.13114754098360648</c:v>
                      </c:pt>
                      <c:pt idx="13">
                        <c:v>0.13559322033898313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730-48DA-8677-CC1705397A17}"/>
                  </c:ext>
                </c:extLst>
              </c15:ser>
            </c15:filteredBarSeries>
          </c:ext>
        </c:extLst>
      </c:barChart>
      <c:catAx>
        <c:axId val="8871096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7125439"/>
        <c:crosses val="autoZero"/>
        <c:auto val="1"/>
        <c:lblAlgn val="ctr"/>
        <c:lblOffset val="100"/>
        <c:noMultiLvlLbl val="0"/>
      </c:catAx>
      <c:valAx>
        <c:axId val="88712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71096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EXTRA</a:t>
            </a:r>
            <a:r>
              <a:rPr lang="es-ES" baseline="0"/>
              <a:t> COST OF H2 TRUCK BY DAILY MILEAGE (500 K TRUCK- 0,8 € / L DIESEL))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Hoja3!$B$27</c:f>
              <c:strCache>
                <c:ptCount val="1"/>
                <c:pt idx="0">
                  <c:v>H2 (5€)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Hoja3!$C$21:$P$21</c:f>
              <c:strCache>
                <c:ptCount val="14"/>
                <c:pt idx="0">
                  <c:v>100 kms/day</c:v>
                </c:pt>
                <c:pt idx="1">
                  <c:v>200 kms/day</c:v>
                </c:pt>
                <c:pt idx="2">
                  <c:v>300 kms/day</c:v>
                </c:pt>
                <c:pt idx="3">
                  <c:v>400 kms/day</c:v>
                </c:pt>
                <c:pt idx="4">
                  <c:v>500 kms/day</c:v>
                </c:pt>
                <c:pt idx="5">
                  <c:v>600 kms/day</c:v>
                </c:pt>
                <c:pt idx="6">
                  <c:v>700 kms/day</c:v>
                </c:pt>
                <c:pt idx="7">
                  <c:v>800 kms/day</c:v>
                </c:pt>
                <c:pt idx="8">
                  <c:v>900 kms/day</c:v>
                </c:pt>
                <c:pt idx="9">
                  <c:v>1000 kms/day</c:v>
                </c:pt>
                <c:pt idx="10">
                  <c:v>1100 kms/day</c:v>
                </c:pt>
                <c:pt idx="11">
                  <c:v>1200 kms/day</c:v>
                </c:pt>
                <c:pt idx="12">
                  <c:v>1300 kms/day</c:v>
                </c:pt>
                <c:pt idx="13">
                  <c:v>1400 kms/day</c:v>
                </c:pt>
              </c:strCache>
            </c:strRef>
          </c:cat>
          <c:val>
            <c:numRef>
              <c:f>Hoja3!$C$27:$P$27</c:f>
              <c:numCache>
                <c:formatCode>0%</c:formatCode>
                <c:ptCount val="14"/>
                <c:pt idx="0">
                  <c:v>0.71</c:v>
                </c:pt>
                <c:pt idx="1">
                  <c:v>0.7</c:v>
                </c:pt>
                <c:pt idx="2">
                  <c:v>0.69</c:v>
                </c:pt>
                <c:pt idx="3">
                  <c:v>0.68</c:v>
                </c:pt>
                <c:pt idx="4">
                  <c:v>0.67</c:v>
                </c:pt>
                <c:pt idx="5">
                  <c:v>0.66</c:v>
                </c:pt>
                <c:pt idx="6">
                  <c:v>0.65</c:v>
                </c:pt>
                <c:pt idx="7">
                  <c:v>0.53</c:v>
                </c:pt>
                <c:pt idx="8">
                  <c:v>0.53</c:v>
                </c:pt>
                <c:pt idx="9">
                  <c:v>0.53</c:v>
                </c:pt>
                <c:pt idx="10">
                  <c:v>0.53</c:v>
                </c:pt>
                <c:pt idx="11">
                  <c:v>0.53</c:v>
                </c:pt>
                <c:pt idx="12">
                  <c:v>0.53</c:v>
                </c:pt>
                <c:pt idx="13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7-435C-B217-47941E3C4E37}"/>
            </c:ext>
          </c:extLst>
        </c:ser>
        <c:ser>
          <c:idx val="6"/>
          <c:order val="6"/>
          <c:tx>
            <c:strRef>
              <c:f>Hoja3!$B$28</c:f>
              <c:strCache>
                <c:ptCount val="1"/>
                <c:pt idx="0">
                  <c:v>H2 (4€)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Hoja3!$C$21:$P$21</c:f>
              <c:strCache>
                <c:ptCount val="14"/>
                <c:pt idx="0">
                  <c:v>100 kms/day</c:v>
                </c:pt>
                <c:pt idx="1">
                  <c:v>200 kms/day</c:v>
                </c:pt>
                <c:pt idx="2">
                  <c:v>300 kms/day</c:v>
                </c:pt>
                <c:pt idx="3">
                  <c:v>400 kms/day</c:v>
                </c:pt>
                <c:pt idx="4">
                  <c:v>500 kms/day</c:v>
                </c:pt>
                <c:pt idx="5">
                  <c:v>600 kms/day</c:v>
                </c:pt>
                <c:pt idx="6">
                  <c:v>700 kms/day</c:v>
                </c:pt>
                <c:pt idx="7">
                  <c:v>800 kms/day</c:v>
                </c:pt>
                <c:pt idx="8">
                  <c:v>900 kms/day</c:v>
                </c:pt>
                <c:pt idx="9">
                  <c:v>1000 kms/day</c:v>
                </c:pt>
                <c:pt idx="10">
                  <c:v>1100 kms/day</c:v>
                </c:pt>
                <c:pt idx="11">
                  <c:v>1200 kms/day</c:v>
                </c:pt>
                <c:pt idx="12">
                  <c:v>1300 kms/day</c:v>
                </c:pt>
                <c:pt idx="13">
                  <c:v>1400 kms/day</c:v>
                </c:pt>
              </c:strCache>
            </c:strRef>
          </c:cat>
          <c:val>
            <c:numRef>
              <c:f>Hoja3!$C$28:$P$28</c:f>
              <c:numCache>
                <c:formatCode>0%</c:formatCode>
                <c:ptCount val="14"/>
                <c:pt idx="0">
                  <c:v>0.68</c:v>
                </c:pt>
                <c:pt idx="1">
                  <c:v>0.65</c:v>
                </c:pt>
                <c:pt idx="2">
                  <c:v>0.62</c:v>
                </c:pt>
                <c:pt idx="3">
                  <c:v>0.59</c:v>
                </c:pt>
                <c:pt idx="4">
                  <c:v>0.56999999999999995</c:v>
                </c:pt>
                <c:pt idx="5">
                  <c:v>0.55000000000000004</c:v>
                </c:pt>
                <c:pt idx="6">
                  <c:v>0.53</c:v>
                </c:pt>
                <c:pt idx="7">
                  <c:v>0.42</c:v>
                </c:pt>
                <c:pt idx="8">
                  <c:v>0.42</c:v>
                </c:pt>
                <c:pt idx="9">
                  <c:v>0.41</c:v>
                </c:pt>
                <c:pt idx="10">
                  <c:v>0.4</c:v>
                </c:pt>
                <c:pt idx="11">
                  <c:v>0.4</c:v>
                </c:pt>
                <c:pt idx="12">
                  <c:v>0.39</c:v>
                </c:pt>
                <c:pt idx="13">
                  <c:v>0.39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66F7-435C-B217-47941E3C4E37}"/>
            </c:ext>
          </c:extLst>
        </c:ser>
        <c:ser>
          <c:idx val="7"/>
          <c:order val="7"/>
          <c:tx>
            <c:strRef>
              <c:f>Hoja3!$B$29</c:f>
              <c:strCache>
                <c:ptCount val="1"/>
                <c:pt idx="0">
                  <c:v>H2 (3€)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Hoja3!$C$21:$P$21</c:f>
              <c:strCache>
                <c:ptCount val="14"/>
                <c:pt idx="0">
                  <c:v>100 kms/day</c:v>
                </c:pt>
                <c:pt idx="1">
                  <c:v>200 kms/day</c:v>
                </c:pt>
                <c:pt idx="2">
                  <c:v>300 kms/day</c:v>
                </c:pt>
                <c:pt idx="3">
                  <c:v>400 kms/day</c:v>
                </c:pt>
                <c:pt idx="4">
                  <c:v>500 kms/day</c:v>
                </c:pt>
                <c:pt idx="5">
                  <c:v>600 kms/day</c:v>
                </c:pt>
                <c:pt idx="6">
                  <c:v>700 kms/day</c:v>
                </c:pt>
                <c:pt idx="7">
                  <c:v>800 kms/day</c:v>
                </c:pt>
                <c:pt idx="8">
                  <c:v>900 kms/day</c:v>
                </c:pt>
                <c:pt idx="9">
                  <c:v>1000 kms/day</c:v>
                </c:pt>
                <c:pt idx="10">
                  <c:v>1100 kms/day</c:v>
                </c:pt>
                <c:pt idx="11">
                  <c:v>1200 kms/day</c:v>
                </c:pt>
                <c:pt idx="12">
                  <c:v>1300 kms/day</c:v>
                </c:pt>
                <c:pt idx="13">
                  <c:v>1400 kms/day</c:v>
                </c:pt>
              </c:strCache>
            </c:strRef>
          </c:cat>
          <c:val>
            <c:numRef>
              <c:f>Hoja3!$C$29:$P$29</c:f>
              <c:numCache>
                <c:formatCode>0%</c:formatCode>
                <c:ptCount val="14"/>
                <c:pt idx="0">
                  <c:v>0.66</c:v>
                </c:pt>
                <c:pt idx="1">
                  <c:v>0.6</c:v>
                </c:pt>
                <c:pt idx="2">
                  <c:v>0.55000000000000004</c:v>
                </c:pt>
                <c:pt idx="3">
                  <c:v>0.51</c:v>
                </c:pt>
                <c:pt idx="4">
                  <c:v>0.47</c:v>
                </c:pt>
                <c:pt idx="5">
                  <c:v>0.44</c:v>
                </c:pt>
                <c:pt idx="6">
                  <c:v>0.41</c:v>
                </c:pt>
                <c:pt idx="7">
                  <c:v>0.32</c:v>
                </c:pt>
                <c:pt idx="8">
                  <c:v>0.31</c:v>
                </c:pt>
                <c:pt idx="9">
                  <c:v>0.28999999999999998</c:v>
                </c:pt>
                <c:pt idx="10">
                  <c:v>0.28000000000000003</c:v>
                </c:pt>
                <c:pt idx="11">
                  <c:v>0.27</c:v>
                </c:pt>
                <c:pt idx="12">
                  <c:v>0.26</c:v>
                </c:pt>
                <c:pt idx="13">
                  <c:v>0.25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66F7-435C-B217-47941E3C4E37}"/>
            </c:ext>
          </c:extLst>
        </c:ser>
        <c:ser>
          <c:idx val="8"/>
          <c:order val="8"/>
          <c:tx>
            <c:strRef>
              <c:f>Hoja3!$B$30</c:f>
              <c:strCache>
                <c:ptCount val="1"/>
                <c:pt idx="0">
                  <c:v>H2 (2€)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Hoja3!$C$21:$P$21</c:f>
              <c:strCache>
                <c:ptCount val="14"/>
                <c:pt idx="0">
                  <c:v>100 kms/day</c:v>
                </c:pt>
                <c:pt idx="1">
                  <c:v>200 kms/day</c:v>
                </c:pt>
                <c:pt idx="2">
                  <c:v>300 kms/day</c:v>
                </c:pt>
                <c:pt idx="3">
                  <c:v>400 kms/day</c:v>
                </c:pt>
                <c:pt idx="4">
                  <c:v>500 kms/day</c:v>
                </c:pt>
                <c:pt idx="5">
                  <c:v>600 kms/day</c:v>
                </c:pt>
                <c:pt idx="6">
                  <c:v>700 kms/day</c:v>
                </c:pt>
                <c:pt idx="7">
                  <c:v>800 kms/day</c:v>
                </c:pt>
                <c:pt idx="8">
                  <c:v>900 kms/day</c:v>
                </c:pt>
                <c:pt idx="9">
                  <c:v>1000 kms/day</c:v>
                </c:pt>
                <c:pt idx="10">
                  <c:v>1100 kms/day</c:v>
                </c:pt>
                <c:pt idx="11">
                  <c:v>1200 kms/day</c:v>
                </c:pt>
                <c:pt idx="12">
                  <c:v>1300 kms/day</c:v>
                </c:pt>
                <c:pt idx="13">
                  <c:v>1400 kms/day</c:v>
                </c:pt>
              </c:strCache>
            </c:strRef>
          </c:cat>
          <c:val>
            <c:numRef>
              <c:f>Hoja3!$C$30:$P$30</c:f>
              <c:numCache>
                <c:formatCode>0%</c:formatCode>
                <c:ptCount val="14"/>
                <c:pt idx="0">
                  <c:v>0.63</c:v>
                </c:pt>
                <c:pt idx="1">
                  <c:v>0.55000000000000004</c:v>
                </c:pt>
                <c:pt idx="2">
                  <c:v>0.42</c:v>
                </c:pt>
                <c:pt idx="3">
                  <c:v>0.42</c:v>
                </c:pt>
                <c:pt idx="4">
                  <c:v>0.37</c:v>
                </c:pt>
                <c:pt idx="5">
                  <c:v>0.33</c:v>
                </c:pt>
                <c:pt idx="6">
                  <c:v>0.28999999999999998</c:v>
                </c:pt>
                <c:pt idx="7">
                  <c:v>0.22</c:v>
                </c:pt>
                <c:pt idx="8">
                  <c:v>0.2</c:v>
                </c:pt>
                <c:pt idx="9">
                  <c:v>0.18</c:v>
                </c:pt>
                <c:pt idx="10">
                  <c:v>0.16</c:v>
                </c:pt>
                <c:pt idx="11">
                  <c:v>0.14000000000000001</c:v>
                </c:pt>
                <c:pt idx="12">
                  <c:v>0.12</c:v>
                </c:pt>
                <c:pt idx="13">
                  <c:v>0.1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66F7-435C-B217-47941E3C4E37}"/>
            </c:ext>
          </c:extLst>
        </c:ser>
        <c:ser>
          <c:idx val="9"/>
          <c:order val="9"/>
          <c:tx>
            <c:strRef>
              <c:f>Hoja3!$B$31</c:f>
              <c:strCache>
                <c:ptCount val="1"/>
                <c:pt idx="0">
                  <c:v>H2 (1€)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Hoja3!$C$21:$P$21</c:f>
              <c:strCache>
                <c:ptCount val="14"/>
                <c:pt idx="0">
                  <c:v>100 kms/day</c:v>
                </c:pt>
                <c:pt idx="1">
                  <c:v>200 kms/day</c:v>
                </c:pt>
                <c:pt idx="2">
                  <c:v>300 kms/day</c:v>
                </c:pt>
                <c:pt idx="3">
                  <c:v>400 kms/day</c:v>
                </c:pt>
                <c:pt idx="4">
                  <c:v>500 kms/day</c:v>
                </c:pt>
                <c:pt idx="5">
                  <c:v>600 kms/day</c:v>
                </c:pt>
                <c:pt idx="6">
                  <c:v>700 kms/day</c:v>
                </c:pt>
                <c:pt idx="7">
                  <c:v>800 kms/day</c:v>
                </c:pt>
                <c:pt idx="8">
                  <c:v>900 kms/day</c:v>
                </c:pt>
                <c:pt idx="9">
                  <c:v>1000 kms/day</c:v>
                </c:pt>
                <c:pt idx="10">
                  <c:v>1100 kms/day</c:v>
                </c:pt>
                <c:pt idx="11">
                  <c:v>1200 kms/day</c:v>
                </c:pt>
                <c:pt idx="12">
                  <c:v>1300 kms/day</c:v>
                </c:pt>
                <c:pt idx="13">
                  <c:v>1400 kms/day</c:v>
                </c:pt>
              </c:strCache>
            </c:strRef>
          </c:cat>
          <c:val>
            <c:numRef>
              <c:f>Hoja3!$C$31:$P$31</c:f>
              <c:numCache>
                <c:formatCode>0%</c:formatCode>
                <c:ptCount val="14"/>
                <c:pt idx="0">
                  <c:v>0.6</c:v>
                </c:pt>
                <c:pt idx="1">
                  <c:v>0.5</c:v>
                </c:pt>
                <c:pt idx="2">
                  <c:v>0.41</c:v>
                </c:pt>
                <c:pt idx="3">
                  <c:v>0.34</c:v>
                </c:pt>
                <c:pt idx="4">
                  <c:v>0.28000000000000003</c:v>
                </c:pt>
                <c:pt idx="5">
                  <c:v>0.22</c:v>
                </c:pt>
                <c:pt idx="6">
                  <c:v>0.17</c:v>
                </c:pt>
                <c:pt idx="7">
                  <c:v>0.12</c:v>
                </c:pt>
                <c:pt idx="8">
                  <c:v>0.09</c:v>
                </c:pt>
                <c:pt idx="9">
                  <c:v>0.06</c:v>
                </c:pt>
                <c:pt idx="10">
                  <c:v>0.03</c:v>
                </c:pt>
                <c:pt idx="11">
                  <c:v>0.01</c:v>
                </c:pt>
                <c:pt idx="12">
                  <c:v>-0.02</c:v>
                </c:pt>
                <c:pt idx="13">
                  <c:v>-0.04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66F7-435C-B217-47941E3C4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309567"/>
        <c:axId val="20512891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Hoja3!$B$22</c15:sqref>
                        </c15:formulaRef>
                      </c:ext>
                    </c:extLst>
                    <c:strCache>
                      <c:ptCount val="1"/>
                      <c:pt idx="0">
                        <c:v>H2 (10€)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Hoja3!$C$21:$P$21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Hoja3!$C$22:$P$22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0.84</c:v>
                      </c:pt>
                      <c:pt idx="1">
                        <c:v>0.94</c:v>
                      </c:pt>
                      <c:pt idx="2">
                        <c:v>1.02</c:v>
                      </c:pt>
                      <c:pt idx="3">
                        <c:v>1.0900000000000001</c:v>
                      </c:pt>
                      <c:pt idx="4">
                        <c:v>1.1599999999999999</c:v>
                      </c:pt>
                      <c:pt idx="5">
                        <c:v>1.21</c:v>
                      </c:pt>
                      <c:pt idx="6">
                        <c:v>1.26</c:v>
                      </c:pt>
                      <c:pt idx="7">
                        <c:v>1.03</c:v>
                      </c:pt>
                      <c:pt idx="8">
                        <c:v>1.07</c:v>
                      </c:pt>
                      <c:pt idx="9">
                        <c:v>1.1100000000000001</c:v>
                      </c:pt>
                      <c:pt idx="10">
                        <c:v>1.1499999999999999</c:v>
                      </c:pt>
                      <c:pt idx="11">
                        <c:v>1.18</c:v>
                      </c:pt>
                      <c:pt idx="12">
                        <c:v>1.21</c:v>
                      </c:pt>
                      <c:pt idx="13">
                        <c:v>1.24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66F7-435C-B217-47941E3C4E3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Hoja3!$B$23</c15:sqref>
                        </c15:formulaRef>
                      </c:ext>
                    </c:extLst>
                    <c:strCache>
                      <c:ptCount val="1"/>
                      <c:pt idx="0">
                        <c:v>H2 (9€)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Hoja3!$C$21:$P$21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Hoja3!$C$23:$P$23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0.82</c:v>
                      </c:pt>
                      <c:pt idx="1">
                        <c:v>0.89</c:v>
                      </c:pt>
                      <c:pt idx="2">
                        <c:v>0.96</c:v>
                      </c:pt>
                      <c:pt idx="3">
                        <c:v>1.01</c:v>
                      </c:pt>
                      <c:pt idx="4">
                        <c:v>1.06</c:v>
                      </c:pt>
                      <c:pt idx="5">
                        <c:v>1.1000000000000001</c:v>
                      </c:pt>
                      <c:pt idx="6">
                        <c:v>1.1399999999999999</c:v>
                      </c:pt>
                      <c:pt idx="7">
                        <c:v>0.93</c:v>
                      </c:pt>
                      <c:pt idx="8">
                        <c:v>0.96</c:v>
                      </c:pt>
                      <c:pt idx="9">
                        <c:v>0.99</c:v>
                      </c:pt>
                      <c:pt idx="10">
                        <c:v>1.02</c:v>
                      </c:pt>
                      <c:pt idx="11">
                        <c:v>1.05</c:v>
                      </c:pt>
                      <c:pt idx="12">
                        <c:v>1.07</c:v>
                      </c:pt>
                      <c:pt idx="13">
                        <c:v>1.0900000000000001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6F7-435C-B217-47941E3C4E3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Hoja3!$B$24</c15:sqref>
                        </c15:formulaRef>
                      </c:ext>
                    </c:extLst>
                    <c:strCache>
                      <c:ptCount val="1"/>
                      <c:pt idx="0">
                        <c:v>H2 (8€)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Hoja3!$C$21:$P$21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Hoja3!$C$24:$P$24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0.79</c:v>
                      </c:pt>
                      <c:pt idx="1">
                        <c:v>0.84</c:v>
                      </c:pt>
                      <c:pt idx="2">
                        <c:v>0.89</c:v>
                      </c:pt>
                      <c:pt idx="3">
                        <c:v>0.93</c:v>
                      </c:pt>
                      <c:pt idx="4">
                        <c:v>0.96</c:v>
                      </c:pt>
                      <c:pt idx="5">
                        <c:v>0.99</c:v>
                      </c:pt>
                      <c:pt idx="6">
                        <c:v>1.01</c:v>
                      </c:pt>
                      <c:pt idx="7">
                        <c:v>0.83</c:v>
                      </c:pt>
                      <c:pt idx="8">
                        <c:v>0.86</c:v>
                      </c:pt>
                      <c:pt idx="9">
                        <c:v>0.88</c:v>
                      </c:pt>
                      <c:pt idx="10">
                        <c:v>0.9</c:v>
                      </c:pt>
                      <c:pt idx="11">
                        <c:v>0.92</c:v>
                      </c:pt>
                      <c:pt idx="12">
                        <c:v>0.94</c:v>
                      </c:pt>
                      <c:pt idx="13">
                        <c:v>0.95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6F7-435C-B217-47941E3C4E3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Hoja3!$B$25</c15:sqref>
                        </c15:formulaRef>
                      </c:ext>
                    </c:extLst>
                    <c:strCache>
                      <c:ptCount val="1"/>
                      <c:pt idx="0">
                        <c:v>H2 (7€)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Hoja3!$C$21:$P$21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Hoja3!$C$25:$P$25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0.76</c:v>
                      </c:pt>
                      <c:pt idx="1">
                        <c:v>0.8</c:v>
                      </c:pt>
                      <c:pt idx="2">
                        <c:v>0.82</c:v>
                      </c:pt>
                      <c:pt idx="3">
                        <c:v>0.84</c:v>
                      </c:pt>
                      <c:pt idx="4">
                        <c:v>0.86</c:v>
                      </c:pt>
                      <c:pt idx="5">
                        <c:v>0.88</c:v>
                      </c:pt>
                      <c:pt idx="6">
                        <c:v>0.89</c:v>
                      </c:pt>
                      <c:pt idx="7">
                        <c:v>0.73</c:v>
                      </c:pt>
                      <c:pt idx="8">
                        <c:v>0.75</c:v>
                      </c:pt>
                      <c:pt idx="9">
                        <c:v>0.76</c:v>
                      </c:pt>
                      <c:pt idx="10">
                        <c:v>0.77</c:v>
                      </c:pt>
                      <c:pt idx="11">
                        <c:v>0.79</c:v>
                      </c:pt>
                      <c:pt idx="12">
                        <c:v>0.8</c:v>
                      </c:pt>
                      <c:pt idx="13">
                        <c:v>0.81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6F7-435C-B217-47941E3C4E3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Hoja3!$B$26</c15:sqref>
                        </c15:formulaRef>
                      </c:ext>
                    </c:extLst>
                    <c:strCache>
                      <c:ptCount val="1"/>
                      <c:pt idx="0">
                        <c:v>H2 (6€)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Hoja3!$C$21:$P$21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Hoja3!$C$26:$P$26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0.74</c:v>
                      </c:pt>
                      <c:pt idx="1">
                        <c:v>0.75</c:v>
                      </c:pt>
                      <c:pt idx="2">
                        <c:v>0.75</c:v>
                      </c:pt>
                      <c:pt idx="3">
                        <c:v>0.76</c:v>
                      </c:pt>
                      <c:pt idx="4">
                        <c:v>0.76</c:v>
                      </c:pt>
                      <c:pt idx="5">
                        <c:v>0.77</c:v>
                      </c:pt>
                      <c:pt idx="6">
                        <c:v>0.77</c:v>
                      </c:pt>
                      <c:pt idx="7">
                        <c:v>0.63</c:v>
                      </c:pt>
                      <c:pt idx="8">
                        <c:v>0.64</c:v>
                      </c:pt>
                      <c:pt idx="9">
                        <c:v>0.64</c:v>
                      </c:pt>
                      <c:pt idx="10">
                        <c:v>0.65</c:v>
                      </c:pt>
                      <c:pt idx="11">
                        <c:v>0.66</c:v>
                      </c:pt>
                      <c:pt idx="12">
                        <c:v>0.66</c:v>
                      </c:pt>
                      <c:pt idx="13">
                        <c:v>0.67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6F7-435C-B217-47941E3C4E37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Hoja3!$B$32</c15:sqref>
                        </c15:formulaRef>
                      </c:ext>
                    </c:extLst>
                    <c:strCache>
                      <c:ptCount val="1"/>
                      <c:pt idx="0">
                        <c:v>GAS NATURAL  (0,6 €)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Hoja3!$C$21:$P$21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Hoja3!$C$32:$P$32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0.15</c:v>
                      </c:pt>
                      <c:pt idx="1">
                        <c:v>0.11</c:v>
                      </c:pt>
                      <c:pt idx="2">
                        <c:v>0.08</c:v>
                      </c:pt>
                      <c:pt idx="3">
                        <c:v>0.05</c:v>
                      </c:pt>
                      <c:pt idx="4">
                        <c:v>0.02</c:v>
                      </c:pt>
                      <c:pt idx="5">
                        <c:v>0</c:v>
                      </c:pt>
                      <c:pt idx="6">
                        <c:v>-0.02</c:v>
                      </c:pt>
                      <c:pt idx="7">
                        <c:v>-0.01</c:v>
                      </c:pt>
                      <c:pt idx="8">
                        <c:v>-0.02</c:v>
                      </c:pt>
                      <c:pt idx="9">
                        <c:v>-0.04</c:v>
                      </c:pt>
                      <c:pt idx="10">
                        <c:v>-0.05</c:v>
                      </c:pt>
                      <c:pt idx="11">
                        <c:v>-0.06</c:v>
                      </c:pt>
                      <c:pt idx="12">
                        <c:v>-7.0000000000000007E-2</c:v>
                      </c:pt>
                      <c:pt idx="13">
                        <c:v>-0.08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F7-435C-B217-47941E3C4E37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Hoja3!$B$33</c15:sqref>
                        </c15:formulaRef>
                      </c:ext>
                    </c:extLst>
                    <c:strCache>
                      <c:ptCount val="1"/>
                      <c:pt idx="0">
                        <c:v>GASOIL (0,8 €)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Hoja3!$C$21:$P$21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Hoja3!$C$33:$P$33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6F7-435C-B217-47941E3C4E37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Hoja3!$B$34</c15:sqref>
                        </c15:formulaRef>
                      </c:ext>
                    </c:extLst>
                    <c:strCache>
                      <c:ptCount val="1"/>
                      <c:pt idx="0">
                        <c:v>BIOMETANO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Hoja3!$C$21:$P$21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Hoja3!$C$34:$P$34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0.19230769230769229</c:v>
                      </c:pt>
                      <c:pt idx="1">
                        <c:v>0.18235294117647038</c:v>
                      </c:pt>
                      <c:pt idx="2">
                        <c:v>0.17886178861788626</c:v>
                      </c:pt>
                      <c:pt idx="3">
                        <c:v>0.17171717171717171</c:v>
                      </c:pt>
                      <c:pt idx="4">
                        <c:v>0.16470588235294126</c:v>
                      </c:pt>
                      <c:pt idx="5">
                        <c:v>0.15789473684210531</c:v>
                      </c:pt>
                      <c:pt idx="6">
                        <c:v>0.15942028985507273</c:v>
                      </c:pt>
                      <c:pt idx="7">
                        <c:v>0.19</c:v>
                      </c:pt>
                      <c:pt idx="8">
                        <c:v>0.19</c:v>
                      </c:pt>
                      <c:pt idx="9">
                        <c:v>0.14084507042253525</c:v>
                      </c:pt>
                      <c:pt idx="10">
                        <c:v>0.2</c:v>
                      </c:pt>
                      <c:pt idx="11">
                        <c:v>0.140625</c:v>
                      </c:pt>
                      <c:pt idx="12">
                        <c:v>0.13114754098360648</c:v>
                      </c:pt>
                      <c:pt idx="13">
                        <c:v>0.13559322033898313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F7-435C-B217-47941E3C4E37}"/>
                  </c:ext>
                </c:extLst>
              </c15:ser>
            </c15:filteredBarSeries>
          </c:ext>
        </c:extLst>
      </c:barChart>
      <c:catAx>
        <c:axId val="20513095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289183"/>
        <c:crosses val="autoZero"/>
        <c:auto val="1"/>
        <c:lblAlgn val="ctr"/>
        <c:lblOffset val="100"/>
        <c:noMultiLvlLbl val="0"/>
      </c:catAx>
      <c:valAx>
        <c:axId val="20512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13095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DUO GASOIL (</a:t>
            </a:r>
            <a:r>
              <a:rPr lang="es-ES" baseline="0"/>
              <a:t> 0,8 €/LITRO)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3"/>
          <c:order val="13"/>
          <c:tx>
            <c:strRef>
              <c:f>Hoja3!$R$35</c:f>
              <c:strCache>
                <c:ptCount val="1"/>
                <c:pt idx="0">
                  <c:v>DUO GASOIL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Hoja3!$S$21:$AF$21</c:f>
              <c:strCache>
                <c:ptCount val="14"/>
                <c:pt idx="0">
                  <c:v>100 kms/day</c:v>
                </c:pt>
                <c:pt idx="1">
                  <c:v>200 kms/day</c:v>
                </c:pt>
                <c:pt idx="2">
                  <c:v>300 kms/day</c:v>
                </c:pt>
                <c:pt idx="3">
                  <c:v>400 kms/day</c:v>
                </c:pt>
                <c:pt idx="4">
                  <c:v>500 kms/day</c:v>
                </c:pt>
                <c:pt idx="5">
                  <c:v>600 kms/day</c:v>
                </c:pt>
                <c:pt idx="6">
                  <c:v>700 kms/day</c:v>
                </c:pt>
                <c:pt idx="7">
                  <c:v>800 kms/day</c:v>
                </c:pt>
                <c:pt idx="8">
                  <c:v>900 kms/day</c:v>
                </c:pt>
                <c:pt idx="9">
                  <c:v>1000 kms/day</c:v>
                </c:pt>
                <c:pt idx="10">
                  <c:v>1100 kms/day</c:v>
                </c:pt>
                <c:pt idx="11">
                  <c:v>1200 kms/day</c:v>
                </c:pt>
                <c:pt idx="12">
                  <c:v>1300 kms/day</c:v>
                </c:pt>
                <c:pt idx="13">
                  <c:v>1400 kms/day</c:v>
                </c:pt>
              </c:strCache>
            </c:strRef>
          </c:cat>
          <c:val>
            <c:numRef>
              <c:f>Hoja3!$S$35:$AF$35</c:f>
              <c:numCache>
                <c:formatCode>0%</c:formatCode>
                <c:ptCount val="14"/>
                <c:pt idx="0">
                  <c:v>-0.34169278996865204</c:v>
                </c:pt>
                <c:pt idx="1">
                  <c:v>-0.31764705882352939</c:v>
                </c:pt>
                <c:pt idx="2">
                  <c:v>-0.30894308943089432</c:v>
                </c:pt>
                <c:pt idx="3">
                  <c:v>-0.30303030303030309</c:v>
                </c:pt>
                <c:pt idx="4">
                  <c:v>-0.30588235294117649</c:v>
                </c:pt>
                <c:pt idx="5">
                  <c:v>-0.30263157894736836</c:v>
                </c:pt>
                <c:pt idx="6">
                  <c:v>-0.28985507246376807</c:v>
                </c:pt>
                <c:pt idx="7">
                  <c:v>-0.32926829268292679</c:v>
                </c:pt>
                <c:pt idx="8">
                  <c:v>-0.31578947368421051</c:v>
                </c:pt>
                <c:pt idx="9">
                  <c:v>-0.3098591549295775</c:v>
                </c:pt>
                <c:pt idx="10">
                  <c:v>-0.31343283582089554</c:v>
                </c:pt>
                <c:pt idx="11">
                  <c:v>-0.3125</c:v>
                </c:pt>
                <c:pt idx="12">
                  <c:v>-0.31147540983606559</c:v>
                </c:pt>
                <c:pt idx="13">
                  <c:v>-0.30508474576271183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9-40DF-A01D-963CB94AC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7120895"/>
        <c:axId val="12071134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Hoja3!$R$22</c15:sqref>
                        </c15:formulaRef>
                      </c:ext>
                    </c:extLst>
                    <c:strCache>
                      <c:ptCount val="1"/>
                      <c:pt idx="0">
                        <c:v>DUO H2 (10€)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Hoja3!$S$22:$AF$22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0.23397435897435903</c:v>
                      </c:pt>
                      <c:pt idx="1">
                        <c:v>0.32941176470588229</c:v>
                      </c:pt>
                      <c:pt idx="2">
                        <c:v>0.4065040650406504</c:v>
                      </c:pt>
                      <c:pt idx="3">
                        <c:v>0.4747474747474747</c:v>
                      </c:pt>
                      <c:pt idx="4">
                        <c:v>0.52941176470588247</c:v>
                      </c:pt>
                      <c:pt idx="5">
                        <c:v>0.57894736842105265</c:v>
                      </c:pt>
                      <c:pt idx="6">
                        <c:v>0.62318840579710177</c:v>
                      </c:pt>
                      <c:pt idx="7">
                        <c:v>0.41463414634146334</c:v>
                      </c:pt>
                      <c:pt idx="8">
                        <c:v>0.46052631578947389</c:v>
                      </c:pt>
                      <c:pt idx="9">
                        <c:v>0.49295774647887347</c:v>
                      </c:pt>
                      <c:pt idx="10">
                        <c:v>0.53731343283582089</c:v>
                      </c:pt>
                      <c:pt idx="11">
                        <c:v>0.5625</c:v>
                      </c:pt>
                      <c:pt idx="12">
                        <c:v>0.5901639344262295</c:v>
                      </c:pt>
                      <c:pt idx="13">
                        <c:v>0.61016949152542366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CB9-40DF-A01D-963CB94ACFD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Hoja3!$R$23</c15:sqref>
                        </c15:formulaRef>
                      </c:ext>
                    </c:extLst>
                    <c:strCache>
                      <c:ptCount val="1"/>
                      <c:pt idx="0">
                        <c:v>DUO H2 (9€)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Hoja3!$S$23:$AF$23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0.21153846153846145</c:v>
                      </c:pt>
                      <c:pt idx="1">
                        <c:v>0.28823529411764715</c:v>
                      </c:pt>
                      <c:pt idx="2">
                        <c:v>0.34959349593495936</c:v>
                      </c:pt>
                      <c:pt idx="3">
                        <c:v>0.41414141414141414</c:v>
                      </c:pt>
                      <c:pt idx="4">
                        <c:v>0.45882352941176463</c:v>
                      </c:pt>
                      <c:pt idx="5">
                        <c:v>0.48684210526315774</c:v>
                      </c:pt>
                      <c:pt idx="6">
                        <c:v>0.53623188405797118</c:v>
                      </c:pt>
                      <c:pt idx="7">
                        <c:v>0.34146341463414642</c:v>
                      </c:pt>
                      <c:pt idx="8">
                        <c:v>0.36842105263157898</c:v>
                      </c:pt>
                      <c:pt idx="9">
                        <c:v>0.40845070422535223</c:v>
                      </c:pt>
                      <c:pt idx="10">
                        <c:v>0.43283582089552231</c:v>
                      </c:pt>
                      <c:pt idx="11">
                        <c:v>0.453125</c:v>
                      </c:pt>
                      <c:pt idx="12">
                        <c:v>0.49180327868852469</c:v>
                      </c:pt>
                      <c:pt idx="13">
                        <c:v>0.50847457627118664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CB9-40DF-A01D-963CB94ACFD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Hoja3!$R$24</c15:sqref>
                        </c15:formulaRef>
                      </c:ext>
                    </c:extLst>
                    <c:strCache>
                      <c:ptCount val="1"/>
                      <c:pt idx="0">
                        <c:v>DUO H2 (8€)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Hoja3!$S$24:$AF$24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0.19230769230769229</c:v>
                      </c:pt>
                      <c:pt idx="1">
                        <c:v>0.25294117647058822</c:v>
                      </c:pt>
                      <c:pt idx="2">
                        <c:v>0.30081300813008149</c:v>
                      </c:pt>
                      <c:pt idx="3">
                        <c:v>0.34343434343434343</c:v>
                      </c:pt>
                      <c:pt idx="4">
                        <c:v>0.37647058823529411</c:v>
                      </c:pt>
                      <c:pt idx="5">
                        <c:v>0.40789473684210531</c:v>
                      </c:pt>
                      <c:pt idx="6">
                        <c:v>0.43478260869565233</c:v>
                      </c:pt>
                      <c:pt idx="7">
                        <c:v>0.30487804878048785</c:v>
                      </c:pt>
                      <c:pt idx="8">
                        <c:v>0.30263157894736836</c:v>
                      </c:pt>
                      <c:pt idx="9">
                        <c:v>0.3098591549295775</c:v>
                      </c:pt>
                      <c:pt idx="10">
                        <c:v>0.34328358208955212</c:v>
                      </c:pt>
                      <c:pt idx="11">
                        <c:v>0.359375</c:v>
                      </c:pt>
                      <c:pt idx="12">
                        <c:v>0.37704918032786883</c:v>
                      </c:pt>
                      <c:pt idx="13">
                        <c:v>0.38983050847457634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CB9-40DF-A01D-963CB94ACFD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Hoja3!$R$25</c15:sqref>
                        </c15:formulaRef>
                      </c:ext>
                    </c:extLst>
                    <c:strCache>
                      <c:ptCount val="1"/>
                      <c:pt idx="0">
                        <c:v>DUO H2 (7€)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Hoja3!$S$25:$AF$25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0.17307692307692313</c:v>
                      </c:pt>
                      <c:pt idx="1">
                        <c:v>0.21176470588235308</c:v>
                      </c:pt>
                      <c:pt idx="2">
                        <c:v>0.24390243902439024</c:v>
                      </c:pt>
                      <c:pt idx="3">
                        <c:v>0.28282828282828287</c:v>
                      </c:pt>
                      <c:pt idx="4">
                        <c:v>0.30588235294117672</c:v>
                      </c:pt>
                      <c:pt idx="5">
                        <c:v>0.31578947368421062</c:v>
                      </c:pt>
                      <c:pt idx="6">
                        <c:v>0.34782608695652195</c:v>
                      </c:pt>
                      <c:pt idx="7">
                        <c:v>0.18292682926829262</c:v>
                      </c:pt>
                      <c:pt idx="8">
                        <c:v>0.19736842105263164</c:v>
                      </c:pt>
                      <c:pt idx="9">
                        <c:v>0.22535211267605648</c:v>
                      </c:pt>
                      <c:pt idx="10">
                        <c:v>0.23880597014925353</c:v>
                      </c:pt>
                      <c:pt idx="11">
                        <c:v>0.25</c:v>
                      </c:pt>
                      <c:pt idx="12">
                        <c:v>0.27868852459016402</c:v>
                      </c:pt>
                      <c:pt idx="13">
                        <c:v>0.2881355932203391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CB9-40DF-A01D-963CB94ACFD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Hoja3!$R$26</c15:sqref>
                        </c15:formulaRef>
                      </c:ext>
                    </c:extLst>
                    <c:strCache>
                      <c:ptCount val="1"/>
                      <c:pt idx="0">
                        <c:v>DUO H2 (6€)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Hoja3!$S$26:$AF$26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0.15064102564102555</c:v>
                      </c:pt>
                      <c:pt idx="1">
                        <c:v>0.17647058823529416</c:v>
                      </c:pt>
                      <c:pt idx="2">
                        <c:v>0.19512195121951215</c:v>
                      </c:pt>
                      <c:pt idx="3">
                        <c:v>0.21212121212121215</c:v>
                      </c:pt>
                      <c:pt idx="4">
                        <c:v>0.22352941176470598</c:v>
                      </c:pt>
                      <c:pt idx="5">
                        <c:v>0.23684210526315774</c:v>
                      </c:pt>
                      <c:pt idx="6">
                        <c:v>0.24637681159420288</c:v>
                      </c:pt>
                      <c:pt idx="7">
                        <c:v>9.7560975609756184E-2</c:v>
                      </c:pt>
                      <c:pt idx="8">
                        <c:v>0.11842105263157898</c:v>
                      </c:pt>
                      <c:pt idx="9">
                        <c:v>0.14084507042253525</c:v>
                      </c:pt>
                      <c:pt idx="10">
                        <c:v>0.14925373134328357</c:v>
                      </c:pt>
                      <c:pt idx="11">
                        <c:v>0.15625</c:v>
                      </c:pt>
                      <c:pt idx="12">
                        <c:v>0.16393442622950816</c:v>
                      </c:pt>
                      <c:pt idx="13">
                        <c:v>0.16949152542372881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CB9-40DF-A01D-963CB94ACFD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Hoja3!$R$27</c15:sqref>
                        </c15:formulaRef>
                      </c:ext>
                    </c:extLst>
                    <c:strCache>
                      <c:ptCount val="1"/>
                      <c:pt idx="0">
                        <c:v>DUO H2 (5€)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Hoja3!$S$27:$AF$27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0.13141025641025639</c:v>
                      </c:pt>
                      <c:pt idx="1">
                        <c:v>0.13529411764705879</c:v>
                      </c:pt>
                      <c:pt idx="2">
                        <c:v>0.13821138211382111</c:v>
                      </c:pt>
                      <c:pt idx="3">
                        <c:v>0.15151515151515138</c:v>
                      </c:pt>
                      <c:pt idx="4">
                        <c:v>0.15294117647058814</c:v>
                      </c:pt>
                      <c:pt idx="5">
                        <c:v>0.14473684210526305</c:v>
                      </c:pt>
                      <c:pt idx="6">
                        <c:v>0.15942028985507273</c:v>
                      </c:pt>
                      <c:pt idx="7">
                        <c:v>2.4390243902439046E-2</c:v>
                      </c:pt>
                      <c:pt idx="8">
                        <c:v>3.9473684210526327E-2</c:v>
                      </c:pt>
                      <c:pt idx="9">
                        <c:v>4.2253521126760507E-2</c:v>
                      </c:pt>
                      <c:pt idx="10">
                        <c:v>4.4776119402984982E-2</c:v>
                      </c:pt>
                      <c:pt idx="11">
                        <c:v>4.6875E-2</c:v>
                      </c:pt>
                      <c:pt idx="12">
                        <c:v>6.5573770491803351E-2</c:v>
                      </c:pt>
                      <c:pt idx="13">
                        <c:v>6.7796610169491567E-2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CB9-40DF-A01D-963CB94ACFDD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Hoja3!$R$28</c15:sqref>
                        </c15:formulaRef>
                      </c:ext>
                    </c:extLst>
                    <c:strCache>
                      <c:ptCount val="1"/>
                      <c:pt idx="0">
                        <c:v>DUO H2 (4€)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Hoja3!$S$28:$AF$28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0.10897435897435903</c:v>
                      </c:pt>
                      <c:pt idx="1">
                        <c:v>0.10000000000000009</c:v>
                      </c:pt>
                      <c:pt idx="2">
                        <c:v>8.9430894308943243E-2</c:v>
                      </c:pt>
                      <c:pt idx="3">
                        <c:v>8.0808080808080884E-2</c:v>
                      </c:pt>
                      <c:pt idx="4">
                        <c:v>8.235294117647074E-2</c:v>
                      </c:pt>
                      <c:pt idx="5">
                        <c:v>6.578947368421062E-2</c:v>
                      </c:pt>
                      <c:pt idx="6">
                        <c:v>5.7971014492753659E-2</c:v>
                      </c:pt>
                      <c:pt idx="7">
                        <c:v>-4.8780487804877981E-2</c:v>
                      </c:pt>
                      <c:pt idx="8">
                        <c:v>-5.2631578947368474E-2</c:v>
                      </c:pt>
                      <c:pt idx="9">
                        <c:v>-4.2253521126760396E-2</c:v>
                      </c:pt>
                      <c:pt idx="10">
                        <c:v>-4.4776119402985093E-2</c:v>
                      </c:pt>
                      <c:pt idx="11">
                        <c:v>-4.6875E-2</c:v>
                      </c:pt>
                      <c:pt idx="12">
                        <c:v>-4.9180327868852514E-2</c:v>
                      </c:pt>
                      <c:pt idx="13">
                        <c:v>-5.0847457627118509E-2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CB9-40DF-A01D-963CB94ACFDD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Hoja3!$R$29</c15:sqref>
                        </c15:formulaRef>
                      </c:ext>
                    </c:extLst>
                    <c:strCache>
                      <c:ptCount val="1"/>
                      <c:pt idx="0">
                        <c:v>DUO H2 (3€)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Hoja3!$S$29:$AF$29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8.9743589743589647E-2</c:v>
                      </c:pt>
                      <c:pt idx="1">
                        <c:v>6.4705882352941169E-2</c:v>
                      </c:pt>
                      <c:pt idx="2">
                        <c:v>4.0650406504065151E-2</c:v>
                      </c:pt>
                      <c:pt idx="3">
                        <c:v>2.020202020202011E-2</c:v>
                      </c:pt>
                      <c:pt idx="4">
                        <c:v>0</c:v>
                      </c:pt>
                      <c:pt idx="5">
                        <c:v>-1.3157894736842146E-2</c:v>
                      </c:pt>
                      <c:pt idx="6">
                        <c:v>-2.8985507246376718E-2</c:v>
                      </c:pt>
                      <c:pt idx="7">
                        <c:v>-0.13414634146341464</c:v>
                      </c:pt>
                      <c:pt idx="8">
                        <c:v>-0.13157894736842102</c:v>
                      </c:pt>
                      <c:pt idx="9">
                        <c:v>-0.14084507042253513</c:v>
                      </c:pt>
                      <c:pt idx="10">
                        <c:v>-0.13432835820895539</c:v>
                      </c:pt>
                      <c:pt idx="11">
                        <c:v>-0.140625</c:v>
                      </c:pt>
                      <c:pt idx="12">
                        <c:v>-0.14754098360655732</c:v>
                      </c:pt>
                      <c:pt idx="13">
                        <c:v>-0.15254237288135586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CB9-40DF-A01D-963CB94ACFDD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Hoja3!$R$30</c15:sqref>
                        </c15:formulaRef>
                      </c:ext>
                    </c:extLst>
                    <c:strCache>
                      <c:ptCount val="1"/>
                      <c:pt idx="0">
                        <c:v>DUO H2 (2€)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Hoja3!$S$30:$AF$30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6.7307692307692291E-2</c:v>
                      </c:pt>
                      <c:pt idx="1">
                        <c:v>2.3529411764705799E-2</c:v>
                      </c:pt>
                      <c:pt idx="2">
                        <c:v>-1.6260162601625994E-2</c:v>
                      </c:pt>
                      <c:pt idx="3">
                        <c:v>-4.0404040404040442E-2</c:v>
                      </c:pt>
                      <c:pt idx="4">
                        <c:v>-7.0588235294117618E-2</c:v>
                      </c:pt>
                      <c:pt idx="5">
                        <c:v>-0.10526315789473684</c:v>
                      </c:pt>
                      <c:pt idx="6">
                        <c:v>-0.13043478260869557</c:v>
                      </c:pt>
                      <c:pt idx="7">
                        <c:v>-0.20731707317073167</c:v>
                      </c:pt>
                      <c:pt idx="8">
                        <c:v>-0.22368421052631582</c:v>
                      </c:pt>
                      <c:pt idx="9">
                        <c:v>-0.22535211267605626</c:v>
                      </c:pt>
                      <c:pt idx="10">
                        <c:v>-0.23880597014925375</c:v>
                      </c:pt>
                      <c:pt idx="11">
                        <c:v>-0.25</c:v>
                      </c:pt>
                      <c:pt idx="12">
                        <c:v>-0.24590163934426224</c:v>
                      </c:pt>
                      <c:pt idx="13">
                        <c:v>-0.27118644067796605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CB9-40DF-A01D-963CB94ACFDD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Hoja3!$R$31</c15:sqref>
                        </c15:formulaRef>
                      </c:ext>
                    </c:extLst>
                    <c:strCache>
                      <c:ptCount val="1"/>
                      <c:pt idx="0">
                        <c:v>DUO H2 (1€)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Hoja3!$S$31:$AF$31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4.8076923076923128E-2</c:v>
                      </c:pt>
                      <c:pt idx="1">
                        <c:v>-1.1764705882352899E-2</c:v>
                      </c:pt>
                      <c:pt idx="2">
                        <c:v>-6.5040650406504086E-2</c:v>
                      </c:pt>
                      <c:pt idx="3">
                        <c:v>-0.11111111111111105</c:v>
                      </c:pt>
                      <c:pt idx="4">
                        <c:v>-0.15294117647058825</c:v>
                      </c:pt>
                      <c:pt idx="5">
                        <c:v>-0.18421052631578949</c:v>
                      </c:pt>
                      <c:pt idx="6">
                        <c:v>-0.21739130434782594</c:v>
                      </c:pt>
                      <c:pt idx="7">
                        <c:v>-0.29268292682926833</c:v>
                      </c:pt>
                      <c:pt idx="8">
                        <c:v>-0.30263157894736836</c:v>
                      </c:pt>
                      <c:pt idx="9">
                        <c:v>-0.323943661971831</c:v>
                      </c:pt>
                      <c:pt idx="10">
                        <c:v>-0.32835820895522394</c:v>
                      </c:pt>
                      <c:pt idx="11">
                        <c:v>-0.34375</c:v>
                      </c:pt>
                      <c:pt idx="12">
                        <c:v>-0.36065573770491799</c:v>
                      </c:pt>
                      <c:pt idx="13">
                        <c:v>-0.3728813559322034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CB9-40DF-A01D-963CB94ACFDD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Hoja3!$R$32</c15:sqref>
                        </c15:formulaRef>
                      </c:ext>
                    </c:extLst>
                    <c:strCache>
                      <c:ptCount val="1"/>
                      <c:pt idx="0">
                        <c:v>GAS NATURAL  (0,6 €)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Hoja3!$S$32:$AF$32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0.15</c:v>
                      </c:pt>
                      <c:pt idx="1">
                        <c:v>0.11</c:v>
                      </c:pt>
                      <c:pt idx="2">
                        <c:v>0.08</c:v>
                      </c:pt>
                      <c:pt idx="3">
                        <c:v>0.05</c:v>
                      </c:pt>
                      <c:pt idx="4">
                        <c:v>0.02</c:v>
                      </c:pt>
                      <c:pt idx="5">
                        <c:v>0</c:v>
                      </c:pt>
                      <c:pt idx="6">
                        <c:v>-0.02</c:v>
                      </c:pt>
                      <c:pt idx="7">
                        <c:v>-0.01</c:v>
                      </c:pt>
                      <c:pt idx="8">
                        <c:v>-0.02</c:v>
                      </c:pt>
                      <c:pt idx="9">
                        <c:v>-0.04</c:v>
                      </c:pt>
                      <c:pt idx="10">
                        <c:v>-0.05</c:v>
                      </c:pt>
                      <c:pt idx="11">
                        <c:v>-0.06</c:v>
                      </c:pt>
                      <c:pt idx="12">
                        <c:v>-7.0000000000000007E-2</c:v>
                      </c:pt>
                      <c:pt idx="13">
                        <c:v>-0.08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CB9-40DF-A01D-963CB94ACFDD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Hoja3!$R$33</c15:sqref>
                        </c15:formulaRef>
                      </c:ext>
                    </c:extLst>
                    <c:strCache>
                      <c:ptCount val="1"/>
                      <c:pt idx="0">
                        <c:v>GASOIL (0,8 €)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Hoja3!$S$33:$AF$33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CB9-40DF-A01D-963CB94ACFDD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Hoja3!$R$34</c15:sqref>
                        </c15:formulaRef>
                      </c:ext>
                    </c:extLst>
                    <c:strCache>
                      <c:ptCount val="1"/>
                      <c:pt idx="0">
                        <c:v>BIOMETANO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Hoja3!$S$21:$AF$21</c15:sqref>
                        </c15:formulaRef>
                      </c:ext>
                    </c:extLst>
                    <c:strCache>
                      <c:ptCount val="14"/>
                      <c:pt idx="0">
                        <c:v>100 kms/day</c:v>
                      </c:pt>
                      <c:pt idx="1">
                        <c:v>200 kms/day</c:v>
                      </c:pt>
                      <c:pt idx="2">
                        <c:v>300 kms/day</c:v>
                      </c:pt>
                      <c:pt idx="3">
                        <c:v>400 kms/day</c:v>
                      </c:pt>
                      <c:pt idx="4">
                        <c:v>500 kms/day</c:v>
                      </c:pt>
                      <c:pt idx="5">
                        <c:v>600 kms/day</c:v>
                      </c:pt>
                      <c:pt idx="6">
                        <c:v>700 kms/day</c:v>
                      </c:pt>
                      <c:pt idx="7">
                        <c:v>800 kms/day</c:v>
                      </c:pt>
                      <c:pt idx="8">
                        <c:v>900 kms/day</c:v>
                      </c:pt>
                      <c:pt idx="9">
                        <c:v>1000 kms/day</c:v>
                      </c:pt>
                      <c:pt idx="10">
                        <c:v>1100 kms/day</c:v>
                      </c:pt>
                      <c:pt idx="11">
                        <c:v>1200 kms/day</c:v>
                      </c:pt>
                      <c:pt idx="12">
                        <c:v>1300 kms/day</c:v>
                      </c:pt>
                      <c:pt idx="13">
                        <c:v>1400 kms/day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Hoja3!$S$34:$AF$34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0.19230769230769229</c:v>
                      </c:pt>
                      <c:pt idx="1">
                        <c:v>0.18235294117647038</c:v>
                      </c:pt>
                      <c:pt idx="2">
                        <c:v>0.17886178861788626</c:v>
                      </c:pt>
                      <c:pt idx="3">
                        <c:v>0.17171717171717171</c:v>
                      </c:pt>
                      <c:pt idx="4">
                        <c:v>0.16470588235294126</c:v>
                      </c:pt>
                      <c:pt idx="5">
                        <c:v>0.15789473684210531</c:v>
                      </c:pt>
                      <c:pt idx="6">
                        <c:v>0.15942028985507273</c:v>
                      </c:pt>
                      <c:pt idx="7">
                        <c:v>0.19</c:v>
                      </c:pt>
                      <c:pt idx="8">
                        <c:v>0.19</c:v>
                      </c:pt>
                      <c:pt idx="9">
                        <c:v>0.14084507042253525</c:v>
                      </c:pt>
                      <c:pt idx="10">
                        <c:v>0.2</c:v>
                      </c:pt>
                      <c:pt idx="11">
                        <c:v>0.140625</c:v>
                      </c:pt>
                      <c:pt idx="12">
                        <c:v>0.13114754098360648</c:v>
                      </c:pt>
                      <c:pt idx="13">
                        <c:v>0.13559322033898313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CB9-40DF-A01D-963CB94ACFDD}"/>
                  </c:ext>
                </c:extLst>
              </c15:ser>
            </c15:filteredBarSeries>
          </c:ext>
        </c:extLst>
      </c:barChart>
      <c:catAx>
        <c:axId val="120712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07113407"/>
        <c:crosses val="autoZero"/>
        <c:auto val="1"/>
        <c:lblAlgn val="ctr"/>
        <c:lblOffset val="100"/>
        <c:noMultiLvlLbl val="0"/>
      </c:catAx>
      <c:valAx>
        <c:axId val="120711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071208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EXTRA COST H2 TRUCK (350</a:t>
            </a:r>
            <a:r>
              <a:rPr lang="es-ES" baseline="0"/>
              <a:t> K TRUCK</a:t>
            </a:r>
            <a:r>
              <a:rPr lang="es-ES"/>
              <a:t> /</a:t>
            </a:r>
            <a:r>
              <a:rPr lang="es-ES" baseline="0"/>
              <a:t> </a:t>
            </a:r>
            <a:r>
              <a:rPr lang="es-ES"/>
              <a:t>MES 1 €</a:t>
            </a:r>
            <a:r>
              <a:rPr lang="es-ES" baseline="0"/>
              <a:t> KG H2)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Hoja3!$B$59</c:f>
              <c:strCache>
                <c:ptCount val="1"/>
                <c:pt idx="0">
                  <c:v>H2 (5€)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Hoja3!$C$53:$P$53</c:f>
              <c:strCache>
                <c:ptCount val="14"/>
                <c:pt idx="0">
                  <c:v>100 kms/dia</c:v>
                </c:pt>
                <c:pt idx="1">
                  <c:v>200 kms/dia</c:v>
                </c:pt>
                <c:pt idx="2">
                  <c:v>300 kms/dia</c:v>
                </c:pt>
                <c:pt idx="3">
                  <c:v>400 kms/dia</c:v>
                </c:pt>
                <c:pt idx="4">
                  <c:v>500 kms/dia</c:v>
                </c:pt>
                <c:pt idx="5">
                  <c:v>600 kms/dia</c:v>
                </c:pt>
                <c:pt idx="6">
                  <c:v>700 kms/dia</c:v>
                </c:pt>
                <c:pt idx="7">
                  <c:v>800 kms/dia</c:v>
                </c:pt>
                <c:pt idx="8">
                  <c:v>900 kms/dia</c:v>
                </c:pt>
                <c:pt idx="9">
                  <c:v>1000 kms/dia</c:v>
                </c:pt>
                <c:pt idx="10">
                  <c:v>1100 kms/dia</c:v>
                </c:pt>
                <c:pt idx="11">
                  <c:v>1200 kms/dia</c:v>
                </c:pt>
                <c:pt idx="12">
                  <c:v>1300 kms/dia</c:v>
                </c:pt>
                <c:pt idx="13">
                  <c:v>1400 kms/dia</c:v>
                </c:pt>
              </c:strCache>
            </c:strRef>
          </c:cat>
          <c:val>
            <c:numRef>
              <c:f>Hoja3!$C$59:$P$59</c:f>
              <c:numCache>
                <c:formatCode>0%</c:formatCode>
                <c:ptCount val="14"/>
                <c:pt idx="0">
                  <c:v>0.67398119122257061</c:v>
                </c:pt>
                <c:pt idx="1">
                  <c:v>0.63276836158192107</c:v>
                </c:pt>
                <c:pt idx="2">
                  <c:v>0.60465116279069742</c:v>
                </c:pt>
                <c:pt idx="3">
                  <c:v>0.56603773584905648</c:v>
                </c:pt>
                <c:pt idx="4">
                  <c:v>0.54347826086956497</c:v>
                </c:pt>
                <c:pt idx="5">
                  <c:v>0.52439024390243905</c:v>
                </c:pt>
                <c:pt idx="6">
                  <c:v>0.5199999999999998</c:v>
                </c:pt>
                <c:pt idx="7">
                  <c:v>0.42045454545454541</c:v>
                </c:pt>
                <c:pt idx="8">
                  <c:v>0.41463414634146334</c:v>
                </c:pt>
                <c:pt idx="9">
                  <c:v>0.39743589743589758</c:v>
                </c:pt>
                <c:pt idx="10">
                  <c:v>9.5744680851064023E-2</c:v>
                </c:pt>
                <c:pt idx="11">
                  <c:v>0.101123595505618</c:v>
                </c:pt>
                <c:pt idx="12">
                  <c:v>0.10588235294117654</c:v>
                </c:pt>
                <c:pt idx="13">
                  <c:v>9.7560975609756184E-2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67-4B0E-9CF6-855DF1AFC725}"/>
            </c:ext>
          </c:extLst>
        </c:ser>
        <c:ser>
          <c:idx val="6"/>
          <c:order val="6"/>
          <c:tx>
            <c:strRef>
              <c:f>Hoja3!$B$60</c:f>
              <c:strCache>
                <c:ptCount val="1"/>
                <c:pt idx="0">
                  <c:v>H2 (4€)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Hoja3!$C$53:$P$53</c:f>
              <c:strCache>
                <c:ptCount val="14"/>
                <c:pt idx="0">
                  <c:v>100 kms/dia</c:v>
                </c:pt>
                <c:pt idx="1">
                  <c:v>200 kms/dia</c:v>
                </c:pt>
                <c:pt idx="2">
                  <c:v>300 kms/dia</c:v>
                </c:pt>
                <c:pt idx="3">
                  <c:v>400 kms/dia</c:v>
                </c:pt>
                <c:pt idx="4">
                  <c:v>500 kms/dia</c:v>
                </c:pt>
                <c:pt idx="5">
                  <c:v>600 kms/dia</c:v>
                </c:pt>
                <c:pt idx="6">
                  <c:v>700 kms/dia</c:v>
                </c:pt>
                <c:pt idx="7">
                  <c:v>800 kms/dia</c:v>
                </c:pt>
                <c:pt idx="8">
                  <c:v>900 kms/dia</c:v>
                </c:pt>
                <c:pt idx="9">
                  <c:v>1000 kms/dia</c:v>
                </c:pt>
                <c:pt idx="10">
                  <c:v>1100 kms/dia</c:v>
                </c:pt>
                <c:pt idx="11">
                  <c:v>1200 kms/dia</c:v>
                </c:pt>
                <c:pt idx="12">
                  <c:v>1300 kms/dia</c:v>
                </c:pt>
                <c:pt idx="13">
                  <c:v>1400 kms/dia</c:v>
                </c:pt>
              </c:strCache>
            </c:strRef>
          </c:cat>
          <c:val>
            <c:numRef>
              <c:f>Hoja3!$C$60:$P$60</c:f>
              <c:numCache>
                <c:formatCode>0%</c:formatCode>
                <c:ptCount val="14"/>
                <c:pt idx="0">
                  <c:v>0.64890282131661436</c:v>
                </c:pt>
                <c:pt idx="1">
                  <c:v>0.58757062146892647</c:v>
                </c:pt>
                <c:pt idx="2">
                  <c:v>0.54263565891472854</c:v>
                </c:pt>
                <c:pt idx="3">
                  <c:v>0.49056603773584895</c:v>
                </c:pt>
                <c:pt idx="4">
                  <c:v>0.44565217391304346</c:v>
                </c:pt>
                <c:pt idx="5">
                  <c:v>0.42682926829268286</c:v>
                </c:pt>
                <c:pt idx="6">
                  <c:v>0.40000000000000013</c:v>
                </c:pt>
                <c:pt idx="7">
                  <c:v>0.31818181818181812</c:v>
                </c:pt>
                <c:pt idx="8">
                  <c:v>0.30487804878048785</c:v>
                </c:pt>
                <c:pt idx="9">
                  <c:v>0.28205128205128194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67-4B0E-9CF6-855DF1AFC725}"/>
            </c:ext>
          </c:extLst>
        </c:ser>
        <c:ser>
          <c:idx val="7"/>
          <c:order val="7"/>
          <c:tx>
            <c:strRef>
              <c:f>Hoja3!$B$61</c:f>
              <c:strCache>
                <c:ptCount val="1"/>
                <c:pt idx="0">
                  <c:v>H2 (3€)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Hoja3!$C$53:$P$53</c:f>
              <c:strCache>
                <c:ptCount val="14"/>
                <c:pt idx="0">
                  <c:v>100 kms/dia</c:v>
                </c:pt>
                <c:pt idx="1">
                  <c:v>200 kms/dia</c:v>
                </c:pt>
                <c:pt idx="2">
                  <c:v>300 kms/dia</c:v>
                </c:pt>
                <c:pt idx="3">
                  <c:v>400 kms/dia</c:v>
                </c:pt>
                <c:pt idx="4">
                  <c:v>500 kms/dia</c:v>
                </c:pt>
                <c:pt idx="5">
                  <c:v>600 kms/dia</c:v>
                </c:pt>
                <c:pt idx="6">
                  <c:v>700 kms/dia</c:v>
                </c:pt>
                <c:pt idx="7">
                  <c:v>800 kms/dia</c:v>
                </c:pt>
                <c:pt idx="8">
                  <c:v>900 kms/dia</c:v>
                </c:pt>
                <c:pt idx="9">
                  <c:v>1000 kms/dia</c:v>
                </c:pt>
                <c:pt idx="10">
                  <c:v>1100 kms/dia</c:v>
                </c:pt>
                <c:pt idx="11">
                  <c:v>1200 kms/dia</c:v>
                </c:pt>
                <c:pt idx="12">
                  <c:v>1300 kms/dia</c:v>
                </c:pt>
                <c:pt idx="13">
                  <c:v>1400 kms/dia</c:v>
                </c:pt>
              </c:strCache>
            </c:strRef>
          </c:cat>
          <c:val>
            <c:numRef>
              <c:f>Hoja3!$C$61:$P$61</c:f>
              <c:numCache>
                <c:formatCode>0%</c:formatCode>
                <c:ptCount val="14"/>
                <c:pt idx="0">
                  <c:v>0.6206896551724137</c:v>
                </c:pt>
                <c:pt idx="1">
                  <c:v>0.53672316384180796</c:v>
                </c:pt>
                <c:pt idx="2">
                  <c:v>0.47286821705426352</c:v>
                </c:pt>
                <c:pt idx="3">
                  <c:v>0.41509433962264142</c:v>
                </c:pt>
                <c:pt idx="4">
                  <c:v>0.35869565217391308</c:v>
                </c:pt>
                <c:pt idx="5">
                  <c:v>0.3292682926829269</c:v>
                </c:pt>
                <c:pt idx="6">
                  <c:v>0.29333333333333322</c:v>
                </c:pt>
                <c:pt idx="7">
                  <c:v>0.22727272727272729</c:v>
                </c:pt>
                <c:pt idx="8">
                  <c:v>0.20731707317073167</c:v>
                </c:pt>
                <c:pt idx="9">
                  <c:v>0.17948717948717952</c:v>
                </c:pt>
                <c:pt idx="10">
                  <c:v>-8.5106382978723416E-2</c:v>
                </c:pt>
                <c:pt idx="11">
                  <c:v>-8.98876404494382E-2</c:v>
                </c:pt>
                <c:pt idx="12">
                  <c:v>-9.4117647058823528E-2</c:v>
                </c:pt>
                <c:pt idx="13">
                  <c:v>-0.1097560975609756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267-4B0E-9CF6-855DF1AFC725}"/>
            </c:ext>
          </c:extLst>
        </c:ser>
        <c:ser>
          <c:idx val="8"/>
          <c:order val="8"/>
          <c:tx>
            <c:strRef>
              <c:f>Hoja3!$B$62</c:f>
              <c:strCache>
                <c:ptCount val="1"/>
                <c:pt idx="0">
                  <c:v>H2 (2€)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Hoja3!$C$53:$P$53</c:f>
              <c:strCache>
                <c:ptCount val="14"/>
                <c:pt idx="0">
                  <c:v>100 kms/dia</c:v>
                </c:pt>
                <c:pt idx="1">
                  <c:v>200 kms/dia</c:v>
                </c:pt>
                <c:pt idx="2">
                  <c:v>300 kms/dia</c:v>
                </c:pt>
                <c:pt idx="3">
                  <c:v>400 kms/dia</c:v>
                </c:pt>
                <c:pt idx="4">
                  <c:v>500 kms/dia</c:v>
                </c:pt>
                <c:pt idx="5">
                  <c:v>600 kms/dia</c:v>
                </c:pt>
                <c:pt idx="6">
                  <c:v>700 kms/dia</c:v>
                </c:pt>
                <c:pt idx="7">
                  <c:v>800 kms/dia</c:v>
                </c:pt>
                <c:pt idx="8">
                  <c:v>900 kms/dia</c:v>
                </c:pt>
                <c:pt idx="9">
                  <c:v>1000 kms/dia</c:v>
                </c:pt>
                <c:pt idx="10">
                  <c:v>1100 kms/dia</c:v>
                </c:pt>
                <c:pt idx="11">
                  <c:v>1200 kms/dia</c:v>
                </c:pt>
                <c:pt idx="12">
                  <c:v>1300 kms/dia</c:v>
                </c:pt>
                <c:pt idx="13">
                  <c:v>1400 kms/dia</c:v>
                </c:pt>
              </c:strCache>
            </c:strRef>
          </c:cat>
          <c:val>
            <c:numRef>
              <c:f>Hoja3!$C$62:$P$62</c:f>
              <c:numCache>
                <c:formatCode>0%</c:formatCode>
                <c:ptCount val="14"/>
                <c:pt idx="0">
                  <c:v>0.59561128526645768</c:v>
                </c:pt>
                <c:pt idx="1">
                  <c:v>0.49152542372881358</c:v>
                </c:pt>
                <c:pt idx="2">
                  <c:v>0.41085271317829464</c:v>
                </c:pt>
                <c:pt idx="3">
                  <c:v>0.33018867924528283</c:v>
                </c:pt>
                <c:pt idx="4">
                  <c:v>0.27173913043478248</c:v>
                </c:pt>
                <c:pt idx="5">
                  <c:v>0.21951219512195119</c:v>
                </c:pt>
                <c:pt idx="6">
                  <c:v>0.18666666666666676</c:v>
                </c:pt>
                <c:pt idx="7">
                  <c:v>0.13636363636363646</c:v>
                </c:pt>
                <c:pt idx="8">
                  <c:v>0.10975609756097571</c:v>
                </c:pt>
                <c:pt idx="9">
                  <c:v>7.6923076923076872E-2</c:v>
                </c:pt>
                <c:pt idx="10">
                  <c:v>-0.17021276595744672</c:v>
                </c:pt>
                <c:pt idx="11">
                  <c:v>-0.1797752808988764</c:v>
                </c:pt>
                <c:pt idx="12">
                  <c:v>-0.18823529411764706</c:v>
                </c:pt>
                <c:pt idx="13">
                  <c:v>-0.20731707317073167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67-4B0E-9CF6-855DF1AFC725}"/>
            </c:ext>
          </c:extLst>
        </c:ser>
        <c:ser>
          <c:idx val="9"/>
          <c:order val="9"/>
          <c:tx>
            <c:strRef>
              <c:f>Hoja3!$B$63</c:f>
              <c:strCache>
                <c:ptCount val="1"/>
                <c:pt idx="0">
                  <c:v>H2 (1€)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Hoja3!$C$53:$P$53</c:f>
              <c:strCache>
                <c:ptCount val="14"/>
                <c:pt idx="0">
                  <c:v>100 kms/dia</c:v>
                </c:pt>
                <c:pt idx="1">
                  <c:v>200 kms/dia</c:v>
                </c:pt>
                <c:pt idx="2">
                  <c:v>300 kms/dia</c:v>
                </c:pt>
                <c:pt idx="3">
                  <c:v>400 kms/dia</c:v>
                </c:pt>
                <c:pt idx="4">
                  <c:v>500 kms/dia</c:v>
                </c:pt>
                <c:pt idx="5">
                  <c:v>600 kms/dia</c:v>
                </c:pt>
                <c:pt idx="6">
                  <c:v>700 kms/dia</c:v>
                </c:pt>
                <c:pt idx="7">
                  <c:v>800 kms/dia</c:v>
                </c:pt>
                <c:pt idx="8">
                  <c:v>900 kms/dia</c:v>
                </c:pt>
                <c:pt idx="9">
                  <c:v>1000 kms/dia</c:v>
                </c:pt>
                <c:pt idx="10">
                  <c:v>1100 kms/dia</c:v>
                </c:pt>
                <c:pt idx="11">
                  <c:v>1200 kms/dia</c:v>
                </c:pt>
                <c:pt idx="12">
                  <c:v>1300 kms/dia</c:v>
                </c:pt>
                <c:pt idx="13">
                  <c:v>1400 kms/dia</c:v>
                </c:pt>
              </c:strCache>
            </c:strRef>
          </c:cat>
          <c:val>
            <c:numRef>
              <c:f>Hoja3!$C$63:$P$63</c:f>
              <c:numCache>
                <c:formatCode>0%</c:formatCode>
                <c:ptCount val="14"/>
                <c:pt idx="0">
                  <c:v>0.57053291536050144</c:v>
                </c:pt>
                <c:pt idx="1">
                  <c:v>0.4463276836158192</c:v>
                </c:pt>
                <c:pt idx="2">
                  <c:v>0.34883720930232553</c:v>
                </c:pt>
                <c:pt idx="3">
                  <c:v>0.25471698113207553</c:v>
                </c:pt>
                <c:pt idx="4">
                  <c:v>0.17391304347826098</c:v>
                </c:pt>
                <c:pt idx="5">
                  <c:v>0.12195121951219523</c:v>
                </c:pt>
                <c:pt idx="6">
                  <c:v>6.6666666666666652E-2</c:v>
                </c:pt>
                <c:pt idx="7">
                  <c:v>4.5454545454545414E-2</c:v>
                </c:pt>
                <c:pt idx="8">
                  <c:v>0</c:v>
                </c:pt>
                <c:pt idx="9">
                  <c:v>-3.8461538461538547E-2</c:v>
                </c:pt>
                <c:pt idx="10">
                  <c:v>-0.26595744680851063</c:v>
                </c:pt>
                <c:pt idx="11">
                  <c:v>-0.2808988764044944</c:v>
                </c:pt>
                <c:pt idx="12">
                  <c:v>-0.29411764705882348</c:v>
                </c:pt>
                <c:pt idx="13">
                  <c:v>-0.30487804878048785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267-4B0E-9CF6-855DF1AFC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854320"/>
        <c:axId val="1239854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Hoja3!$B$54</c15:sqref>
                        </c15:formulaRef>
                      </c:ext>
                    </c:extLst>
                    <c:strCache>
                      <c:ptCount val="1"/>
                      <c:pt idx="0">
                        <c:v>H2 (10€)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Hoja3!$C$53:$P$53</c15:sqref>
                        </c15:formulaRef>
                      </c:ext>
                    </c:extLst>
                    <c:strCache>
                      <c:ptCount val="14"/>
                      <c:pt idx="0">
                        <c:v>100 kms/dia</c:v>
                      </c:pt>
                      <c:pt idx="1">
                        <c:v>200 kms/dia</c:v>
                      </c:pt>
                      <c:pt idx="2">
                        <c:v>300 kms/dia</c:v>
                      </c:pt>
                      <c:pt idx="3">
                        <c:v>400 kms/dia</c:v>
                      </c:pt>
                      <c:pt idx="4">
                        <c:v>500 kms/dia</c:v>
                      </c:pt>
                      <c:pt idx="5">
                        <c:v>600 kms/dia</c:v>
                      </c:pt>
                      <c:pt idx="6">
                        <c:v>700 kms/dia</c:v>
                      </c:pt>
                      <c:pt idx="7">
                        <c:v>800 kms/dia</c:v>
                      </c:pt>
                      <c:pt idx="8">
                        <c:v>900 kms/dia</c:v>
                      </c:pt>
                      <c:pt idx="9">
                        <c:v>1000 kms/dia</c:v>
                      </c:pt>
                      <c:pt idx="10">
                        <c:v>1100 kms/dia</c:v>
                      </c:pt>
                      <c:pt idx="11">
                        <c:v>1200 kms/dia</c:v>
                      </c:pt>
                      <c:pt idx="12">
                        <c:v>1300 kms/dia</c:v>
                      </c:pt>
                      <c:pt idx="13">
                        <c:v>1400 kms/dia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Hoja3!$C$54:$P$54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0.80564263322884</c:v>
                      </c:pt>
                      <c:pt idx="1">
                        <c:v>0.86440677966101687</c:v>
                      </c:pt>
                      <c:pt idx="2">
                        <c:v>0.93023255813953498</c:v>
                      </c:pt>
                      <c:pt idx="3">
                        <c:v>0.96226415094339623</c:v>
                      </c:pt>
                      <c:pt idx="4">
                        <c:v>0.98913043478260865</c:v>
                      </c:pt>
                      <c:pt idx="5">
                        <c:v>1.0365853658536586</c:v>
                      </c:pt>
                      <c:pt idx="6">
                        <c:v>1.0666666666666669</c:v>
                      </c:pt>
                      <c:pt idx="7">
                        <c:v>0.88636363636363624</c:v>
                      </c:pt>
                      <c:pt idx="8">
                        <c:v>0.91463414634146356</c:v>
                      </c:pt>
                      <c:pt idx="9">
                        <c:v>0.92307692307692291</c:v>
                      </c:pt>
                      <c:pt idx="10">
                        <c:v>0.53191489361702127</c:v>
                      </c:pt>
                      <c:pt idx="11">
                        <c:v>0.56179775280898858</c:v>
                      </c:pt>
                      <c:pt idx="12">
                        <c:v>0.58823529411764719</c:v>
                      </c:pt>
                      <c:pt idx="13">
                        <c:v>0.60975609756097571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267-4B0E-9CF6-855DF1AFC72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Hoja3!$B$55</c15:sqref>
                        </c15:formulaRef>
                      </c:ext>
                    </c:extLst>
                    <c:strCache>
                      <c:ptCount val="1"/>
                      <c:pt idx="0">
                        <c:v>H2 (9€)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Hoja3!$C$53:$P$53</c15:sqref>
                        </c15:formulaRef>
                      </c:ext>
                    </c:extLst>
                    <c:strCache>
                      <c:ptCount val="14"/>
                      <c:pt idx="0">
                        <c:v>100 kms/dia</c:v>
                      </c:pt>
                      <c:pt idx="1">
                        <c:v>200 kms/dia</c:v>
                      </c:pt>
                      <c:pt idx="2">
                        <c:v>300 kms/dia</c:v>
                      </c:pt>
                      <c:pt idx="3">
                        <c:v>400 kms/dia</c:v>
                      </c:pt>
                      <c:pt idx="4">
                        <c:v>500 kms/dia</c:v>
                      </c:pt>
                      <c:pt idx="5">
                        <c:v>600 kms/dia</c:v>
                      </c:pt>
                      <c:pt idx="6">
                        <c:v>700 kms/dia</c:v>
                      </c:pt>
                      <c:pt idx="7">
                        <c:v>800 kms/dia</c:v>
                      </c:pt>
                      <c:pt idx="8">
                        <c:v>900 kms/dia</c:v>
                      </c:pt>
                      <c:pt idx="9">
                        <c:v>1000 kms/dia</c:v>
                      </c:pt>
                      <c:pt idx="10">
                        <c:v>1100 kms/dia</c:v>
                      </c:pt>
                      <c:pt idx="11">
                        <c:v>1200 kms/dia</c:v>
                      </c:pt>
                      <c:pt idx="12">
                        <c:v>1300 kms/dia</c:v>
                      </c:pt>
                      <c:pt idx="13">
                        <c:v>1400 kms/dia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Hoja3!$C$55:$P$55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0.77742946708463956</c:v>
                      </c:pt>
                      <c:pt idx="1">
                        <c:v>0.81920903954802271</c:v>
                      </c:pt>
                      <c:pt idx="2">
                        <c:v>0.86046511627906974</c:v>
                      </c:pt>
                      <c:pt idx="3">
                        <c:v>0.88679245283018848</c:v>
                      </c:pt>
                      <c:pt idx="4">
                        <c:v>0.90217391304347827</c:v>
                      </c:pt>
                      <c:pt idx="5">
                        <c:v>0.93902439024390261</c:v>
                      </c:pt>
                      <c:pt idx="6">
                        <c:v>0.96</c:v>
                      </c:pt>
                      <c:pt idx="7">
                        <c:v>0.79545454545454564</c:v>
                      </c:pt>
                      <c:pt idx="8">
                        <c:v>0.81707317073170738</c:v>
                      </c:pt>
                      <c:pt idx="9">
                        <c:v>0.82051282051282026</c:v>
                      </c:pt>
                      <c:pt idx="10">
                        <c:v>0.44680851063829796</c:v>
                      </c:pt>
                      <c:pt idx="11">
                        <c:v>0.4719101123595506</c:v>
                      </c:pt>
                      <c:pt idx="12">
                        <c:v>0.49411764705882355</c:v>
                      </c:pt>
                      <c:pt idx="13">
                        <c:v>0.5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267-4B0E-9CF6-855DF1AFC72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Hoja3!$B$56</c15:sqref>
                        </c15:formulaRef>
                      </c:ext>
                    </c:extLst>
                    <c:strCache>
                      <c:ptCount val="1"/>
                      <c:pt idx="0">
                        <c:v>H2 (8€)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Hoja3!$C$53:$P$53</c15:sqref>
                        </c15:formulaRef>
                      </c:ext>
                    </c:extLst>
                    <c:strCache>
                      <c:ptCount val="14"/>
                      <c:pt idx="0">
                        <c:v>100 kms/dia</c:v>
                      </c:pt>
                      <c:pt idx="1">
                        <c:v>200 kms/dia</c:v>
                      </c:pt>
                      <c:pt idx="2">
                        <c:v>300 kms/dia</c:v>
                      </c:pt>
                      <c:pt idx="3">
                        <c:v>400 kms/dia</c:v>
                      </c:pt>
                      <c:pt idx="4">
                        <c:v>500 kms/dia</c:v>
                      </c:pt>
                      <c:pt idx="5">
                        <c:v>600 kms/dia</c:v>
                      </c:pt>
                      <c:pt idx="6">
                        <c:v>700 kms/dia</c:v>
                      </c:pt>
                      <c:pt idx="7">
                        <c:v>800 kms/dia</c:v>
                      </c:pt>
                      <c:pt idx="8">
                        <c:v>900 kms/dia</c:v>
                      </c:pt>
                      <c:pt idx="9">
                        <c:v>1000 kms/dia</c:v>
                      </c:pt>
                      <c:pt idx="10">
                        <c:v>1100 kms/dia</c:v>
                      </c:pt>
                      <c:pt idx="11">
                        <c:v>1200 kms/dia</c:v>
                      </c:pt>
                      <c:pt idx="12">
                        <c:v>1300 kms/dia</c:v>
                      </c:pt>
                      <c:pt idx="13">
                        <c:v>1400 kms/dia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Hoja3!$C$56:$P$56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0.75235109717868331</c:v>
                      </c:pt>
                      <c:pt idx="1">
                        <c:v>0.77401129943502833</c:v>
                      </c:pt>
                      <c:pt idx="2">
                        <c:v>0.79844961240310064</c:v>
                      </c:pt>
                      <c:pt idx="3">
                        <c:v>0.80188679245283012</c:v>
                      </c:pt>
                      <c:pt idx="4">
                        <c:v>0.81521739130434767</c:v>
                      </c:pt>
                      <c:pt idx="5">
                        <c:v>0.8292682926829269</c:v>
                      </c:pt>
                      <c:pt idx="6">
                        <c:v>0.85333333333333328</c:v>
                      </c:pt>
                      <c:pt idx="7">
                        <c:v>0.70454545454545459</c:v>
                      </c:pt>
                      <c:pt idx="8">
                        <c:v>0.71951219512195119</c:v>
                      </c:pt>
                      <c:pt idx="9">
                        <c:v>0.71794871794871806</c:v>
                      </c:pt>
                      <c:pt idx="10">
                        <c:v>0.36170212765957466</c:v>
                      </c:pt>
                      <c:pt idx="11">
                        <c:v>0.3820224719101124</c:v>
                      </c:pt>
                      <c:pt idx="12">
                        <c:v>0.39999999999999991</c:v>
                      </c:pt>
                      <c:pt idx="13">
                        <c:v>0.40243902439024382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267-4B0E-9CF6-855DF1AFC72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Hoja3!$B$57</c15:sqref>
                        </c15:formulaRef>
                      </c:ext>
                    </c:extLst>
                    <c:strCache>
                      <c:ptCount val="1"/>
                      <c:pt idx="0">
                        <c:v>H2 (7€)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Hoja3!$C$53:$P$53</c15:sqref>
                        </c15:formulaRef>
                      </c:ext>
                    </c:extLst>
                    <c:strCache>
                      <c:ptCount val="14"/>
                      <c:pt idx="0">
                        <c:v>100 kms/dia</c:v>
                      </c:pt>
                      <c:pt idx="1">
                        <c:v>200 kms/dia</c:v>
                      </c:pt>
                      <c:pt idx="2">
                        <c:v>300 kms/dia</c:v>
                      </c:pt>
                      <c:pt idx="3">
                        <c:v>400 kms/dia</c:v>
                      </c:pt>
                      <c:pt idx="4">
                        <c:v>500 kms/dia</c:v>
                      </c:pt>
                      <c:pt idx="5">
                        <c:v>600 kms/dia</c:v>
                      </c:pt>
                      <c:pt idx="6">
                        <c:v>700 kms/dia</c:v>
                      </c:pt>
                      <c:pt idx="7">
                        <c:v>800 kms/dia</c:v>
                      </c:pt>
                      <c:pt idx="8">
                        <c:v>900 kms/dia</c:v>
                      </c:pt>
                      <c:pt idx="9">
                        <c:v>1000 kms/dia</c:v>
                      </c:pt>
                      <c:pt idx="10">
                        <c:v>1100 kms/dia</c:v>
                      </c:pt>
                      <c:pt idx="11">
                        <c:v>1200 kms/dia</c:v>
                      </c:pt>
                      <c:pt idx="12">
                        <c:v>1300 kms/dia</c:v>
                      </c:pt>
                      <c:pt idx="13">
                        <c:v>1400 kms/dia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Hoja3!$C$57:$P$57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0.72727272727272729</c:v>
                      </c:pt>
                      <c:pt idx="1">
                        <c:v>0.72316384180790938</c:v>
                      </c:pt>
                      <c:pt idx="2">
                        <c:v>0.73643410852713198</c:v>
                      </c:pt>
                      <c:pt idx="3">
                        <c:v>0.72641509433962259</c:v>
                      </c:pt>
                      <c:pt idx="4">
                        <c:v>0.71739130434782616</c:v>
                      </c:pt>
                      <c:pt idx="5">
                        <c:v>0.73170731707317072</c:v>
                      </c:pt>
                      <c:pt idx="6">
                        <c:v>0.73333333333333339</c:v>
                      </c:pt>
                      <c:pt idx="7">
                        <c:v>0.60227272727272707</c:v>
                      </c:pt>
                      <c:pt idx="8">
                        <c:v>0.60975609756097571</c:v>
                      </c:pt>
                      <c:pt idx="9">
                        <c:v>0.60256410256410242</c:v>
                      </c:pt>
                      <c:pt idx="10">
                        <c:v>0.26595744680851063</c:v>
                      </c:pt>
                      <c:pt idx="11">
                        <c:v>0.28089887640449418</c:v>
                      </c:pt>
                      <c:pt idx="12">
                        <c:v>0.29411764705882359</c:v>
                      </c:pt>
                      <c:pt idx="13">
                        <c:v>0.30487804878048785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267-4B0E-9CF6-855DF1AFC72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Hoja3!$B$58</c15:sqref>
                        </c15:formulaRef>
                      </c:ext>
                    </c:extLst>
                    <c:strCache>
                      <c:ptCount val="1"/>
                      <c:pt idx="0">
                        <c:v>H2 (6€)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Hoja3!$C$53:$P$53</c15:sqref>
                        </c15:formulaRef>
                      </c:ext>
                    </c:extLst>
                    <c:strCache>
                      <c:ptCount val="14"/>
                      <c:pt idx="0">
                        <c:v>100 kms/dia</c:v>
                      </c:pt>
                      <c:pt idx="1">
                        <c:v>200 kms/dia</c:v>
                      </c:pt>
                      <c:pt idx="2">
                        <c:v>300 kms/dia</c:v>
                      </c:pt>
                      <c:pt idx="3">
                        <c:v>400 kms/dia</c:v>
                      </c:pt>
                      <c:pt idx="4">
                        <c:v>500 kms/dia</c:v>
                      </c:pt>
                      <c:pt idx="5">
                        <c:v>600 kms/dia</c:v>
                      </c:pt>
                      <c:pt idx="6">
                        <c:v>700 kms/dia</c:v>
                      </c:pt>
                      <c:pt idx="7">
                        <c:v>800 kms/dia</c:v>
                      </c:pt>
                      <c:pt idx="8">
                        <c:v>900 kms/dia</c:v>
                      </c:pt>
                      <c:pt idx="9">
                        <c:v>1000 kms/dia</c:v>
                      </c:pt>
                      <c:pt idx="10">
                        <c:v>1100 kms/dia</c:v>
                      </c:pt>
                      <c:pt idx="11">
                        <c:v>1200 kms/dia</c:v>
                      </c:pt>
                      <c:pt idx="12">
                        <c:v>1300 kms/dia</c:v>
                      </c:pt>
                      <c:pt idx="13">
                        <c:v>1400 kms/dia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Hoja3!$C$58:$P$58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0.69905956112852663</c:v>
                      </c:pt>
                      <c:pt idx="1">
                        <c:v>0.67796610169491545</c:v>
                      </c:pt>
                      <c:pt idx="2">
                        <c:v>0.66666666666666652</c:v>
                      </c:pt>
                      <c:pt idx="3">
                        <c:v>0.65094339622641506</c:v>
                      </c:pt>
                      <c:pt idx="4">
                        <c:v>0.63043478260869557</c:v>
                      </c:pt>
                      <c:pt idx="5">
                        <c:v>0.63414634146341475</c:v>
                      </c:pt>
                      <c:pt idx="6">
                        <c:v>0.62666666666666671</c:v>
                      </c:pt>
                      <c:pt idx="7">
                        <c:v>0.51136363636363646</c:v>
                      </c:pt>
                      <c:pt idx="8">
                        <c:v>0.51219512195121952</c:v>
                      </c:pt>
                      <c:pt idx="9">
                        <c:v>0.49999999999999978</c:v>
                      </c:pt>
                      <c:pt idx="10">
                        <c:v>0.18085106382978733</c:v>
                      </c:pt>
                      <c:pt idx="11">
                        <c:v>0.1910112359550562</c:v>
                      </c:pt>
                      <c:pt idx="12">
                        <c:v>0.19999999999999996</c:v>
                      </c:pt>
                      <c:pt idx="13">
                        <c:v>0.19512195121951215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267-4B0E-9CF6-855DF1AFC725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Hoja3!$B$64</c15:sqref>
                        </c15:formulaRef>
                      </c:ext>
                    </c:extLst>
                    <c:strCache>
                      <c:ptCount val="1"/>
                      <c:pt idx="0">
                        <c:v>GAS NATURAL  (0,6 €)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Hoja3!$C$53:$P$53</c15:sqref>
                        </c15:formulaRef>
                      </c:ext>
                    </c:extLst>
                    <c:strCache>
                      <c:ptCount val="14"/>
                      <c:pt idx="0">
                        <c:v>100 kms/dia</c:v>
                      </c:pt>
                      <c:pt idx="1">
                        <c:v>200 kms/dia</c:v>
                      </c:pt>
                      <c:pt idx="2">
                        <c:v>300 kms/dia</c:v>
                      </c:pt>
                      <c:pt idx="3">
                        <c:v>400 kms/dia</c:v>
                      </c:pt>
                      <c:pt idx="4">
                        <c:v>500 kms/dia</c:v>
                      </c:pt>
                      <c:pt idx="5">
                        <c:v>600 kms/dia</c:v>
                      </c:pt>
                      <c:pt idx="6">
                        <c:v>700 kms/dia</c:v>
                      </c:pt>
                      <c:pt idx="7">
                        <c:v>800 kms/dia</c:v>
                      </c:pt>
                      <c:pt idx="8">
                        <c:v>900 kms/dia</c:v>
                      </c:pt>
                      <c:pt idx="9">
                        <c:v>1000 kms/dia</c:v>
                      </c:pt>
                      <c:pt idx="10">
                        <c:v>1100 kms/dia</c:v>
                      </c:pt>
                      <c:pt idx="11">
                        <c:v>1200 kms/dia</c:v>
                      </c:pt>
                      <c:pt idx="12">
                        <c:v>1300 kms/dia</c:v>
                      </c:pt>
                      <c:pt idx="13">
                        <c:v>1400 kms/dia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Hoja3!$C$64:$P$64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0.12852664576802519</c:v>
                      </c:pt>
                      <c:pt idx="1">
                        <c:v>6.7796610169491567E-2</c:v>
                      </c:pt>
                      <c:pt idx="2">
                        <c:v>2.3255813953488413E-2</c:v>
                      </c:pt>
                      <c:pt idx="3">
                        <c:v>-1.8867924528301883E-2</c:v>
                      </c:pt>
                      <c:pt idx="4">
                        <c:v>-5.4347826086956541E-2</c:v>
                      </c:pt>
                      <c:pt idx="5">
                        <c:v>-8.536585365853655E-2</c:v>
                      </c:pt>
                      <c:pt idx="6">
                        <c:v>-0.10666666666666658</c:v>
                      </c:pt>
                      <c:pt idx="7">
                        <c:v>-7.9545454545454475E-2</c:v>
                      </c:pt>
                      <c:pt idx="8">
                        <c:v>-9.7560975609756073E-2</c:v>
                      </c:pt>
                      <c:pt idx="9">
                        <c:v>-0.11538461538461553</c:v>
                      </c:pt>
                      <c:pt idx="10">
                        <c:v>-0.31914893617021267</c:v>
                      </c:pt>
                      <c:pt idx="11">
                        <c:v>-0.3258426966292135</c:v>
                      </c:pt>
                      <c:pt idx="12">
                        <c:v>-0.3294117647058824</c:v>
                      </c:pt>
                      <c:pt idx="13">
                        <c:v>-0.34146341463414631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267-4B0E-9CF6-855DF1AFC725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Hoja3!$B$65</c15:sqref>
                        </c15:formulaRef>
                      </c:ext>
                    </c:extLst>
                    <c:strCache>
                      <c:ptCount val="1"/>
                      <c:pt idx="0">
                        <c:v>GASOIL (1 €)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Hoja3!$C$53:$P$53</c15:sqref>
                        </c15:formulaRef>
                      </c:ext>
                    </c:extLst>
                    <c:strCache>
                      <c:ptCount val="14"/>
                      <c:pt idx="0">
                        <c:v>100 kms/dia</c:v>
                      </c:pt>
                      <c:pt idx="1">
                        <c:v>200 kms/dia</c:v>
                      </c:pt>
                      <c:pt idx="2">
                        <c:v>300 kms/dia</c:v>
                      </c:pt>
                      <c:pt idx="3">
                        <c:v>400 kms/dia</c:v>
                      </c:pt>
                      <c:pt idx="4">
                        <c:v>500 kms/dia</c:v>
                      </c:pt>
                      <c:pt idx="5">
                        <c:v>600 kms/dia</c:v>
                      </c:pt>
                      <c:pt idx="6">
                        <c:v>700 kms/dia</c:v>
                      </c:pt>
                      <c:pt idx="7">
                        <c:v>800 kms/dia</c:v>
                      </c:pt>
                      <c:pt idx="8">
                        <c:v>900 kms/dia</c:v>
                      </c:pt>
                      <c:pt idx="9">
                        <c:v>1000 kms/dia</c:v>
                      </c:pt>
                      <c:pt idx="10">
                        <c:v>1100 kms/dia</c:v>
                      </c:pt>
                      <c:pt idx="11">
                        <c:v>1200 kms/dia</c:v>
                      </c:pt>
                      <c:pt idx="12">
                        <c:v>1300 kms/dia</c:v>
                      </c:pt>
                      <c:pt idx="13">
                        <c:v>1400 kms/dia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Hoja3!$C$65:$P$65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267-4B0E-9CF6-855DF1AFC725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Hoja3!$B$66</c15:sqref>
                        </c15:formulaRef>
                      </c:ext>
                    </c:extLst>
                    <c:strCache>
                      <c:ptCount val="1"/>
                      <c:pt idx="0">
                        <c:v>BIOMETANO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Hoja3!$C$53:$P$53</c15:sqref>
                        </c15:formulaRef>
                      </c:ext>
                    </c:extLst>
                    <c:strCache>
                      <c:ptCount val="14"/>
                      <c:pt idx="0">
                        <c:v>100 kms/dia</c:v>
                      </c:pt>
                      <c:pt idx="1">
                        <c:v>200 kms/dia</c:v>
                      </c:pt>
                      <c:pt idx="2">
                        <c:v>300 kms/dia</c:v>
                      </c:pt>
                      <c:pt idx="3">
                        <c:v>400 kms/dia</c:v>
                      </c:pt>
                      <c:pt idx="4">
                        <c:v>500 kms/dia</c:v>
                      </c:pt>
                      <c:pt idx="5">
                        <c:v>600 kms/dia</c:v>
                      </c:pt>
                      <c:pt idx="6">
                        <c:v>700 kms/dia</c:v>
                      </c:pt>
                      <c:pt idx="7">
                        <c:v>800 kms/dia</c:v>
                      </c:pt>
                      <c:pt idx="8">
                        <c:v>900 kms/dia</c:v>
                      </c:pt>
                      <c:pt idx="9">
                        <c:v>1000 kms/dia</c:v>
                      </c:pt>
                      <c:pt idx="10">
                        <c:v>1100 kms/dia</c:v>
                      </c:pt>
                      <c:pt idx="11">
                        <c:v>1200 kms/dia</c:v>
                      </c:pt>
                      <c:pt idx="12">
                        <c:v>1300 kms/dia</c:v>
                      </c:pt>
                      <c:pt idx="13">
                        <c:v>1400 kms/dia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Hoja3!$C$66:$P$66</c15:sqref>
                        </c15:formulaRef>
                      </c:ext>
                    </c:extLst>
                    <c:numCache>
                      <c:formatCode>0%</c:formatCode>
                      <c:ptCount val="14"/>
                      <c:pt idx="0">
                        <c:v>-1.2539184952978122E-2</c:v>
                      </c:pt>
                      <c:pt idx="1">
                        <c:v>0.13559322033898291</c:v>
                      </c:pt>
                      <c:pt idx="2">
                        <c:v>0.12403100775193798</c:v>
                      </c:pt>
                      <c:pt idx="3">
                        <c:v>-2.8301886792452824E-2</c:v>
                      </c:pt>
                      <c:pt idx="4">
                        <c:v>7.6086956521739024E-2</c:v>
                      </c:pt>
                      <c:pt idx="5">
                        <c:v>7.3170731707317138E-2</c:v>
                      </c:pt>
                      <c:pt idx="6">
                        <c:v>6.6666666666666652E-2</c:v>
                      </c:pt>
                      <c:pt idx="7">
                        <c:v>5.6818181818181879E-2</c:v>
                      </c:pt>
                      <c:pt idx="8">
                        <c:v>4.8780487804878092E-2</c:v>
                      </c:pt>
                      <c:pt idx="9">
                        <c:v>3.8461538461538547E-2</c:v>
                      </c:pt>
                      <c:pt idx="10">
                        <c:v>-0.1914893617021276</c:v>
                      </c:pt>
                      <c:pt idx="11">
                        <c:v>-0.1797752808988764</c:v>
                      </c:pt>
                      <c:pt idx="12">
                        <c:v>-0.18823529411764706</c:v>
                      </c:pt>
                      <c:pt idx="13">
                        <c:v>-0.18292682926829262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267-4B0E-9CF6-855DF1AFC725}"/>
                  </c:ext>
                </c:extLst>
              </c15:ser>
            </c15:filteredBarSeries>
          </c:ext>
        </c:extLst>
      </c:barChart>
      <c:catAx>
        <c:axId val="123985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9854736"/>
        <c:crosses val="autoZero"/>
        <c:auto val="1"/>
        <c:lblAlgn val="ctr"/>
        <c:lblOffset val="100"/>
        <c:noMultiLvlLbl val="0"/>
      </c:catAx>
      <c:valAx>
        <c:axId val="123985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98543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ES"/>
              <a:t>Coste /km combustible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GRAFICO!$C$2</c:f>
              <c:strCache>
                <c:ptCount val="1"/>
                <c:pt idx="0">
                  <c:v>0,16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GRAFICO!$D$1:$L$1</c15:sqref>
                  </c15:fullRef>
                </c:ext>
              </c:extLst>
              <c:f>GRAFICO!$D$1:$J$1</c:f>
              <c:strCache>
                <c:ptCount val="7"/>
                <c:pt idx="0">
                  <c:v>3 €</c:v>
                </c:pt>
                <c:pt idx="1">
                  <c:v>4 €</c:v>
                </c:pt>
                <c:pt idx="2">
                  <c:v>5 €</c:v>
                </c:pt>
                <c:pt idx="3">
                  <c:v>6 €</c:v>
                </c:pt>
                <c:pt idx="4">
                  <c:v>7 €</c:v>
                </c:pt>
                <c:pt idx="5">
                  <c:v>8 €</c:v>
                </c:pt>
                <c:pt idx="6">
                  <c:v>9 €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GRAFICO!$D$2:$L$2</c15:sqref>
                  </c15:fullRef>
                </c:ext>
              </c:extLst>
              <c:f>GRAFICO!$D$2:$J$2</c:f>
              <c:numCache>
                <c:formatCode>General</c:formatCode>
                <c:ptCount val="7"/>
                <c:pt idx="0">
                  <c:v>0.24</c:v>
                </c:pt>
                <c:pt idx="1">
                  <c:v>0.32</c:v>
                </c:pt>
                <c:pt idx="2">
                  <c:v>0.4</c:v>
                </c:pt>
                <c:pt idx="3">
                  <c:v>0.48</c:v>
                </c:pt>
                <c:pt idx="4">
                  <c:v>0.56000000000000005</c:v>
                </c:pt>
                <c:pt idx="5">
                  <c:v>0.64</c:v>
                </c:pt>
                <c:pt idx="6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17-4A22-A346-2D73905CE2FC}"/>
            </c:ext>
          </c:extLst>
        </c:ser>
        <c:ser>
          <c:idx val="1"/>
          <c:order val="1"/>
          <c:tx>
            <c:strRef>
              <c:f>GRAFICO!$C$3</c:f>
              <c:strCache>
                <c:ptCount val="1"/>
                <c:pt idx="0">
                  <c:v>0,315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GRAFICO!$D$1:$L$1</c15:sqref>
                  </c15:fullRef>
                </c:ext>
              </c:extLst>
              <c:f>GRAFICO!$D$1:$J$1</c:f>
              <c:strCache>
                <c:ptCount val="7"/>
                <c:pt idx="0">
                  <c:v>3 €</c:v>
                </c:pt>
                <c:pt idx="1">
                  <c:v>4 €</c:v>
                </c:pt>
                <c:pt idx="2">
                  <c:v>5 €</c:v>
                </c:pt>
                <c:pt idx="3">
                  <c:v>6 €</c:v>
                </c:pt>
                <c:pt idx="4">
                  <c:v>7 €</c:v>
                </c:pt>
                <c:pt idx="5">
                  <c:v>8 €</c:v>
                </c:pt>
                <c:pt idx="6">
                  <c:v>9 €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GRAFICO!$D$3:$L$3</c15:sqref>
                  </c15:fullRef>
                </c:ext>
              </c:extLst>
              <c:f>GRAFICO!$D$3:$J$3</c:f>
              <c:numCache>
                <c:formatCode>General</c:formatCode>
                <c:ptCount val="7"/>
                <c:pt idx="0">
                  <c:v>0.315</c:v>
                </c:pt>
                <c:pt idx="1">
                  <c:v>0.315</c:v>
                </c:pt>
                <c:pt idx="2">
                  <c:v>0.315</c:v>
                </c:pt>
                <c:pt idx="3">
                  <c:v>0.315</c:v>
                </c:pt>
                <c:pt idx="4">
                  <c:v>0.315</c:v>
                </c:pt>
                <c:pt idx="5">
                  <c:v>0.315</c:v>
                </c:pt>
                <c:pt idx="6">
                  <c:v>0.315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17-4A22-A346-2D73905CE2FC}"/>
            </c:ext>
          </c:extLst>
        </c:ser>
        <c:ser>
          <c:idx val="3"/>
          <c:order val="3"/>
          <c:tx>
            <c:strRef>
              <c:f>GRAFICO!$C$5</c:f>
              <c:strCache>
                <c:ptCount val="1"/>
                <c:pt idx="0">
                  <c:v>0,252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GRAFICO!$D$1:$L$1</c15:sqref>
                  </c15:fullRef>
                </c:ext>
              </c:extLst>
              <c:f>GRAFICO!$D$1:$J$1</c:f>
              <c:strCache>
                <c:ptCount val="7"/>
                <c:pt idx="0">
                  <c:v>3 €</c:v>
                </c:pt>
                <c:pt idx="1">
                  <c:v>4 €</c:v>
                </c:pt>
                <c:pt idx="2">
                  <c:v>5 €</c:v>
                </c:pt>
                <c:pt idx="3">
                  <c:v>6 €</c:v>
                </c:pt>
                <c:pt idx="4">
                  <c:v>7 €</c:v>
                </c:pt>
                <c:pt idx="5">
                  <c:v>8 €</c:v>
                </c:pt>
                <c:pt idx="6">
                  <c:v>9 €</c:v>
                </c:pt>
                <c:pt idx="7">
                  <c:v>10 €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GRAFICO!$G$5:$L$5</c15:sqref>
                  </c15:fullRef>
                </c:ext>
              </c:extLst>
              <c:f>GRAFICO!$G$5:$L$5</c:f>
              <c:numCache>
                <c:formatCode>General</c:formatCode>
                <c:ptCount val="6"/>
                <c:pt idx="0">
                  <c:v>0.252</c:v>
                </c:pt>
                <c:pt idx="1">
                  <c:v>0.252</c:v>
                </c:pt>
                <c:pt idx="2">
                  <c:v>0.252</c:v>
                </c:pt>
                <c:pt idx="3">
                  <c:v>0.252</c:v>
                </c:pt>
                <c:pt idx="4">
                  <c:v>0.252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17-4A22-A346-2D73905CE2FC}"/>
            </c:ext>
          </c:extLst>
        </c:ser>
        <c:ser>
          <c:idx val="4"/>
          <c:order val="4"/>
          <c:tx>
            <c:strRef>
              <c:f>GRAFICO!$B$6</c:f>
              <c:strCache>
                <c:ptCount val="1"/>
                <c:pt idx="0">
                  <c:v>0,48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GRAFICO!$D$1:$L$1</c15:sqref>
                  </c15:fullRef>
                </c:ext>
              </c:extLst>
              <c:f>GRAFICO!$D$1:$J$1</c:f>
              <c:strCache>
                <c:ptCount val="7"/>
                <c:pt idx="0">
                  <c:v>3 €</c:v>
                </c:pt>
                <c:pt idx="1">
                  <c:v>4 €</c:v>
                </c:pt>
                <c:pt idx="2">
                  <c:v>5 €</c:v>
                </c:pt>
                <c:pt idx="3">
                  <c:v>6 €</c:v>
                </c:pt>
                <c:pt idx="4">
                  <c:v>7 €</c:v>
                </c:pt>
                <c:pt idx="5">
                  <c:v>8 €</c:v>
                </c:pt>
                <c:pt idx="6">
                  <c:v>9 €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GRAFICO!$C$6:$L$6</c15:sqref>
                  </c15:fullRef>
                </c:ext>
              </c:extLst>
              <c:f>GRAFICO!$C$6:$I$6</c:f>
              <c:numCache>
                <c:formatCode>0.00</c:formatCode>
                <c:ptCount val="7"/>
                <c:pt idx="0">
                  <c:v>0.47520000000000001</c:v>
                </c:pt>
                <c:pt idx="1">
                  <c:v>0.47520000000000001</c:v>
                </c:pt>
                <c:pt idx="2">
                  <c:v>0.47520000000000001</c:v>
                </c:pt>
                <c:pt idx="3">
                  <c:v>0.47520000000000001</c:v>
                </c:pt>
                <c:pt idx="4">
                  <c:v>0.47520000000000001</c:v>
                </c:pt>
                <c:pt idx="5">
                  <c:v>0.47520000000000001</c:v>
                </c:pt>
                <c:pt idx="6">
                  <c:v>0.47520000000000001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17-4A22-A346-2D73905CE2FC}"/>
            </c:ext>
          </c:extLst>
        </c:ser>
        <c:ser>
          <c:idx val="5"/>
          <c:order val="5"/>
          <c:tx>
            <c:strRef>
              <c:f>GRAFICO!$B$7</c:f>
              <c:strCache>
                <c:ptCount val="1"/>
                <c:pt idx="0">
                  <c:v>0,45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GRAFICO!$D$1:$L$1</c15:sqref>
                  </c15:fullRef>
                </c:ext>
              </c:extLst>
              <c:f>GRAFICO!$D$1:$J$1</c:f>
              <c:strCache>
                <c:ptCount val="7"/>
                <c:pt idx="0">
                  <c:v>3 €</c:v>
                </c:pt>
                <c:pt idx="1">
                  <c:v>4 €</c:v>
                </c:pt>
                <c:pt idx="2">
                  <c:v>5 €</c:v>
                </c:pt>
                <c:pt idx="3">
                  <c:v>6 €</c:v>
                </c:pt>
                <c:pt idx="4">
                  <c:v>7 €</c:v>
                </c:pt>
                <c:pt idx="5">
                  <c:v>8 €</c:v>
                </c:pt>
                <c:pt idx="6">
                  <c:v>9 €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GRAFICO!$C$7:$L$7</c15:sqref>
                  </c15:fullRef>
                </c:ext>
              </c:extLst>
              <c:f>GRAFICO!$C$7:$I$7</c:f>
              <c:numCache>
                <c:formatCode>0.00</c:formatCode>
                <c:ptCount val="7"/>
                <c:pt idx="0">
                  <c:v>0.44880000000000003</c:v>
                </c:pt>
                <c:pt idx="1">
                  <c:v>0.44880000000000003</c:v>
                </c:pt>
                <c:pt idx="2">
                  <c:v>0.44880000000000003</c:v>
                </c:pt>
                <c:pt idx="3">
                  <c:v>0.44880000000000003</c:v>
                </c:pt>
                <c:pt idx="4">
                  <c:v>0.44880000000000003</c:v>
                </c:pt>
                <c:pt idx="5">
                  <c:v>0.44880000000000003</c:v>
                </c:pt>
                <c:pt idx="6">
                  <c:v>0.44880000000000003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17-4A22-A346-2D73905CE2FC}"/>
            </c:ext>
          </c:extLst>
        </c:ser>
        <c:ser>
          <c:idx val="6"/>
          <c:order val="6"/>
          <c:tx>
            <c:strRef>
              <c:f>GRAFICO!$B$8</c:f>
              <c:strCache>
                <c:ptCount val="1"/>
                <c:pt idx="0">
                  <c:v>0,42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GRAFICO!$D$1:$L$1</c15:sqref>
                  </c15:fullRef>
                </c:ext>
              </c:extLst>
              <c:f>GRAFICO!$D$1:$J$1</c:f>
              <c:strCache>
                <c:ptCount val="7"/>
                <c:pt idx="0">
                  <c:v>3 €</c:v>
                </c:pt>
                <c:pt idx="1">
                  <c:v>4 €</c:v>
                </c:pt>
                <c:pt idx="2">
                  <c:v>5 €</c:v>
                </c:pt>
                <c:pt idx="3">
                  <c:v>6 €</c:v>
                </c:pt>
                <c:pt idx="4">
                  <c:v>7 €</c:v>
                </c:pt>
                <c:pt idx="5">
                  <c:v>8 €</c:v>
                </c:pt>
                <c:pt idx="6">
                  <c:v>9 €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GRAFICO!$C$8:$L$8</c15:sqref>
                  </c15:fullRef>
                </c:ext>
              </c:extLst>
              <c:f>GRAFICO!$C$8:$I$8</c:f>
              <c:numCache>
                <c:formatCode>0.00</c:formatCode>
                <c:ptCount val="7"/>
                <c:pt idx="0">
                  <c:v>0.42090000000000005</c:v>
                </c:pt>
                <c:pt idx="1">
                  <c:v>0.42090000000000005</c:v>
                </c:pt>
                <c:pt idx="2">
                  <c:v>0.42090000000000005</c:v>
                </c:pt>
                <c:pt idx="3">
                  <c:v>0.42090000000000005</c:v>
                </c:pt>
                <c:pt idx="4">
                  <c:v>0.42090000000000005</c:v>
                </c:pt>
                <c:pt idx="5">
                  <c:v>0.42090000000000005</c:v>
                </c:pt>
                <c:pt idx="6">
                  <c:v>0.42090000000000005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17-4A22-A346-2D73905CE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7221552"/>
        <c:axId val="126722238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GRAFICO!$B$4</c15:sqref>
                        </c15:formulaRef>
                      </c:ext>
                    </c:extLst>
                    <c:strCache>
                      <c:ptCount val="1"/>
                      <c:pt idx="0">
                        <c:v>0,284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GRAFICO!$D$1:$L$1</c15:sqref>
                        </c15:fullRef>
                        <c15:formulaRef>
                          <c15:sqref>GRAFICO!$D$1:$J$1</c15:sqref>
                        </c15:formulaRef>
                      </c:ext>
                    </c:extLst>
                    <c:strCache>
                      <c:ptCount val="7"/>
                      <c:pt idx="0">
                        <c:v>3 €</c:v>
                      </c:pt>
                      <c:pt idx="1">
                        <c:v>4 €</c:v>
                      </c:pt>
                      <c:pt idx="2">
                        <c:v>5 €</c:v>
                      </c:pt>
                      <c:pt idx="3">
                        <c:v>6 €</c:v>
                      </c:pt>
                      <c:pt idx="4">
                        <c:v>7 €</c:v>
                      </c:pt>
                      <c:pt idx="5">
                        <c:v>8 €</c:v>
                      </c:pt>
                      <c:pt idx="6">
                        <c:v>9 €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GRAFICO!$D$4:$L$4</c15:sqref>
                        </c15:fullRef>
                        <c15:formulaRef>
                          <c15:sqref>GRAFICO!$D$4:$J$4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0.28399999999999997</c:v>
                      </c:pt>
                      <c:pt idx="1">
                        <c:v>0.28399999999999997</c:v>
                      </c:pt>
                      <c:pt idx="2">
                        <c:v>0.28399999999999997</c:v>
                      </c:pt>
                      <c:pt idx="3">
                        <c:v>0.28399999999999997</c:v>
                      </c:pt>
                      <c:pt idx="4">
                        <c:v>0.28399999999999997</c:v>
                      </c:pt>
                      <c:pt idx="5">
                        <c:v>0.28399999999999997</c:v>
                      </c:pt>
                      <c:pt idx="6">
                        <c:v>0.28399999999999997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717-4A22-A346-2D73905CE2FC}"/>
                  </c:ext>
                </c:extLst>
              </c15:ser>
            </c15:filteredLineSeries>
          </c:ext>
        </c:extLst>
      </c:lineChart>
      <c:catAx>
        <c:axId val="126722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€/kg h2</a:t>
                </a:r>
              </a:p>
            </c:rich>
          </c:tx>
          <c:layout>
            <c:manualLayout>
              <c:xMode val="edge"/>
              <c:yMode val="edge"/>
              <c:x val="0.52155148193169676"/>
              <c:y val="0.721964540190386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7222384"/>
        <c:crosses val="autoZero"/>
        <c:auto val="1"/>
        <c:lblAlgn val="ctr"/>
        <c:lblOffset val="100"/>
        <c:noMultiLvlLbl val="0"/>
      </c:catAx>
      <c:valAx>
        <c:axId val="126722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€/km  combustible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72215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€/km por tipo de combustible</a:t>
            </a:r>
          </a:p>
        </c:rich>
      </c:tx>
      <c:layout>
        <c:manualLayout>
          <c:xMode val="edge"/>
          <c:yMode val="edge"/>
          <c:x val="0.42653563978867659"/>
          <c:y val="3.1224315522072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3.16616253764571E-2"/>
          <c:y val="5.2363382990464356E-2"/>
          <c:w val="0.96833837462354289"/>
          <c:h val="0.85993193236310717"/>
        </c:manualLayout>
      </c:layout>
      <c:barChart>
        <c:barDir val="col"/>
        <c:grouping val="clustered"/>
        <c:varyColors val="0"/>
        <c:ser>
          <c:idx val="7"/>
          <c:order val="7"/>
          <c:tx>
            <c:strRef>
              <c:f>Hoja3!$B$11</c:f>
              <c:strCache>
                <c:ptCount val="1"/>
                <c:pt idx="0">
                  <c:v>H2 (3€)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Hoja3!$C$3:$P$3</c:f>
              <c:strCache>
                <c:ptCount val="14"/>
                <c:pt idx="0">
                  <c:v>100 kms/dia</c:v>
                </c:pt>
                <c:pt idx="1">
                  <c:v>200 kms/dia</c:v>
                </c:pt>
                <c:pt idx="2">
                  <c:v>300 kms/dia</c:v>
                </c:pt>
                <c:pt idx="3">
                  <c:v>400 kms/dia</c:v>
                </c:pt>
                <c:pt idx="4">
                  <c:v>500 kms/dia</c:v>
                </c:pt>
                <c:pt idx="5">
                  <c:v>600 kms/dia</c:v>
                </c:pt>
                <c:pt idx="6">
                  <c:v>700 kms/dia</c:v>
                </c:pt>
                <c:pt idx="7">
                  <c:v>800 kms/dia</c:v>
                </c:pt>
                <c:pt idx="8">
                  <c:v>900 kms/dia</c:v>
                </c:pt>
                <c:pt idx="9">
                  <c:v>1000 kms/dia</c:v>
                </c:pt>
                <c:pt idx="10">
                  <c:v>1100 kms/dia</c:v>
                </c:pt>
                <c:pt idx="11">
                  <c:v>1200 kms/dia</c:v>
                </c:pt>
                <c:pt idx="12">
                  <c:v>1300 kms/dia</c:v>
                </c:pt>
                <c:pt idx="13">
                  <c:v>1400 kms/dia</c:v>
                </c:pt>
              </c:strCache>
            </c:strRef>
          </c:cat>
          <c:val>
            <c:numRef>
              <c:f>Hoja3!$C$11:$P$11</c:f>
              <c:numCache>
                <c:formatCode>General</c:formatCode>
                <c:ptCount val="14"/>
                <c:pt idx="0">
                  <c:v>5.17</c:v>
                </c:pt>
                <c:pt idx="1">
                  <c:v>2.72</c:v>
                </c:pt>
                <c:pt idx="2">
                  <c:v>1.9</c:v>
                </c:pt>
                <c:pt idx="3">
                  <c:v>1.5</c:v>
                </c:pt>
                <c:pt idx="4">
                  <c:v>1.25</c:v>
                </c:pt>
                <c:pt idx="5">
                  <c:v>1.0900000000000001</c:v>
                </c:pt>
                <c:pt idx="6">
                  <c:v>0.97</c:v>
                </c:pt>
                <c:pt idx="7">
                  <c:v>1.08</c:v>
                </c:pt>
                <c:pt idx="8">
                  <c:v>0.99</c:v>
                </c:pt>
                <c:pt idx="9">
                  <c:v>0.92</c:v>
                </c:pt>
                <c:pt idx="10">
                  <c:v>0.86</c:v>
                </c:pt>
                <c:pt idx="11">
                  <c:v>0.81</c:v>
                </c:pt>
                <c:pt idx="12">
                  <c:v>0.77</c:v>
                </c:pt>
                <c:pt idx="13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5-4A3D-B254-92965AFE3C62}"/>
            </c:ext>
          </c:extLst>
        </c:ser>
        <c:ser>
          <c:idx val="8"/>
          <c:order val="8"/>
          <c:tx>
            <c:strRef>
              <c:f>Hoja3!$B$12</c:f>
              <c:strCache>
                <c:ptCount val="1"/>
                <c:pt idx="0">
                  <c:v>H2 (2€)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Hoja3!$C$3:$P$3</c:f>
              <c:strCache>
                <c:ptCount val="14"/>
                <c:pt idx="0">
                  <c:v>100 kms/dia</c:v>
                </c:pt>
                <c:pt idx="1">
                  <c:v>200 kms/dia</c:v>
                </c:pt>
                <c:pt idx="2">
                  <c:v>300 kms/dia</c:v>
                </c:pt>
                <c:pt idx="3">
                  <c:v>400 kms/dia</c:v>
                </c:pt>
                <c:pt idx="4">
                  <c:v>500 kms/dia</c:v>
                </c:pt>
                <c:pt idx="5">
                  <c:v>600 kms/dia</c:v>
                </c:pt>
                <c:pt idx="6">
                  <c:v>700 kms/dia</c:v>
                </c:pt>
                <c:pt idx="7">
                  <c:v>800 kms/dia</c:v>
                </c:pt>
                <c:pt idx="8">
                  <c:v>900 kms/dia</c:v>
                </c:pt>
                <c:pt idx="9">
                  <c:v>1000 kms/dia</c:v>
                </c:pt>
                <c:pt idx="10">
                  <c:v>1100 kms/dia</c:v>
                </c:pt>
                <c:pt idx="11">
                  <c:v>1200 kms/dia</c:v>
                </c:pt>
                <c:pt idx="12">
                  <c:v>1300 kms/dia</c:v>
                </c:pt>
                <c:pt idx="13">
                  <c:v>1400 kms/dia</c:v>
                </c:pt>
              </c:strCache>
            </c:strRef>
          </c:cat>
          <c:val>
            <c:numRef>
              <c:f>Hoja3!$C$12:$P$12</c:f>
              <c:numCache>
                <c:formatCode>General</c:formatCode>
                <c:ptCount val="14"/>
                <c:pt idx="0">
                  <c:v>5.09</c:v>
                </c:pt>
                <c:pt idx="1">
                  <c:v>2.64</c:v>
                </c:pt>
                <c:pt idx="2">
                  <c:v>1.82</c:v>
                </c:pt>
                <c:pt idx="3">
                  <c:v>1.41</c:v>
                </c:pt>
                <c:pt idx="4">
                  <c:v>1.17</c:v>
                </c:pt>
                <c:pt idx="5">
                  <c:v>1</c:v>
                </c:pt>
                <c:pt idx="6">
                  <c:v>0.89</c:v>
                </c:pt>
                <c:pt idx="7">
                  <c:v>1</c:v>
                </c:pt>
                <c:pt idx="8">
                  <c:v>0.91</c:v>
                </c:pt>
                <c:pt idx="9">
                  <c:v>0.84</c:v>
                </c:pt>
                <c:pt idx="10">
                  <c:v>0.78</c:v>
                </c:pt>
                <c:pt idx="11">
                  <c:v>0.73</c:v>
                </c:pt>
                <c:pt idx="12">
                  <c:v>0.69</c:v>
                </c:pt>
                <c:pt idx="13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5-4A3D-B254-92965AFE3C62}"/>
            </c:ext>
          </c:extLst>
        </c:ser>
        <c:ser>
          <c:idx val="10"/>
          <c:order val="10"/>
          <c:tx>
            <c:strRef>
              <c:f>Hoja3!$B$14</c:f>
              <c:strCache>
                <c:ptCount val="1"/>
                <c:pt idx="0">
                  <c:v>GAS NATURAL  (0,6 €)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Hoja3!$C$3:$P$3</c:f>
              <c:strCache>
                <c:ptCount val="14"/>
                <c:pt idx="0">
                  <c:v>100 kms/dia</c:v>
                </c:pt>
                <c:pt idx="1">
                  <c:v>200 kms/dia</c:v>
                </c:pt>
                <c:pt idx="2">
                  <c:v>300 kms/dia</c:v>
                </c:pt>
                <c:pt idx="3">
                  <c:v>400 kms/dia</c:v>
                </c:pt>
                <c:pt idx="4">
                  <c:v>500 kms/dia</c:v>
                </c:pt>
                <c:pt idx="5">
                  <c:v>600 kms/dia</c:v>
                </c:pt>
                <c:pt idx="6">
                  <c:v>700 kms/dia</c:v>
                </c:pt>
                <c:pt idx="7">
                  <c:v>800 kms/dia</c:v>
                </c:pt>
                <c:pt idx="8">
                  <c:v>900 kms/dia</c:v>
                </c:pt>
                <c:pt idx="9">
                  <c:v>1000 kms/dia</c:v>
                </c:pt>
                <c:pt idx="10">
                  <c:v>1100 kms/dia</c:v>
                </c:pt>
                <c:pt idx="11">
                  <c:v>1200 kms/dia</c:v>
                </c:pt>
                <c:pt idx="12">
                  <c:v>1300 kms/dia</c:v>
                </c:pt>
                <c:pt idx="13">
                  <c:v>1400 kms/dia</c:v>
                </c:pt>
              </c:strCache>
            </c:strRef>
          </c:cat>
          <c:val>
            <c:numRef>
              <c:f>Hoja3!$C$14:$P$14</c:f>
              <c:numCache>
                <c:formatCode>General</c:formatCode>
                <c:ptCount val="14"/>
                <c:pt idx="0">
                  <c:v>3.6</c:v>
                </c:pt>
                <c:pt idx="1">
                  <c:v>1.89</c:v>
                </c:pt>
                <c:pt idx="2">
                  <c:v>1.32</c:v>
                </c:pt>
                <c:pt idx="3">
                  <c:v>1.04</c:v>
                </c:pt>
                <c:pt idx="4">
                  <c:v>0.87</c:v>
                </c:pt>
                <c:pt idx="5">
                  <c:v>0.75</c:v>
                </c:pt>
                <c:pt idx="6">
                  <c:v>0.67</c:v>
                </c:pt>
                <c:pt idx="7">
                  <c:v>0.81</c:v>
                </c:pt>
                <c:pt idx="8">
                  <c:v>0.74</c:v>
                </c:pt>
                <c:pt idx="9">
                  <c:v>0.69</c:v>
                </c:pt>
                <c:pt idx="10">
                  <c:v>0.64</c:v>
                </c:pt>
                <c:pt idx="11">
                  <c:v>0.6</c:v>
                </c:pt>
                <c:pt idx="12">
                  <c:v>0.56999999999999995</c:v>
                </c:pt>
                <c:pt idx="13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45-4A3D-B254-92965AFE3C62}"/>
            </c:ext>
          </c:extLst>
        </c:ser>
        <c:ser>
          <c:idx val="13"/>
          <c:order val="13"/>
          <c:tx>
            <c:strRef>
              <c:f>Hoja3!$B$17</c:f>
              <c:strCache>
                <c:ptCount val="1"/>
                <c:pt idx="0">
                  <c:v>GASOIL (0,8 €)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Hoja3!$C$3:$P$3</c:f>
              <c:strCache>
                <c:ptCount val="14"/>
                <c:pt idx="0">
                  <c:v>100 kms/dia</c:v>
                </c:pt>
                <c:pt idx="1">
                  <c:v>200 kms/dia</c:v>
                </c:pt>
                <c:pt idx="2">
                  <c:v>300 kms/dia</c:v>
                </c:pt>
                <c:pt idx="3">
                  <c:v>400 kms/dia</c:v>
                </c:pt>
                <c:pt idx="4">
                  <c:v>500 kms/dia</c:v>
                </c:pt>
                <c:pt idx="5">
                  <c:v>600 kms/dia</c:v>
                </c:pt>
                <c:pt idx="6">
                  <c:v>700 kms/dia</c:v>
                </c:pt>
                <c:pt idx="7">
                  <c:v>800 kms/dia</c:v>
                </c:pt>
                <c:pt idx="8">
                  <c:v>900 kms/dia</c:v>
                </c:pt>
                <c:pt idx="9">
                  <c:v>1000 kms/dia</c:v>
                </c:pt>
                <c:pt idx="10">
                  <c:v>1100 kms/dia</c:v>
                </c:pt>
                <c:pt idx="11">
                  <c:v>1200 kms/dia</c:v>
                </c:pt>
                <c:pt idx="12">
                  <c:v>1300 kms/dia</c:v>
                </c:pt>
                <c:pt idx="13">
                  <c:v>1400 kms/dia</c:v>
                </c:pt>
              </c:strCache>
            </c:strRef>
          </c:cat>
          <c:val>
            <c:numRef>
              <c:f>Hoja3!$C$17:$P$17</c:f>
              <c:numCache>
                <c:formatCode>General</c:formatCode>
                <c:ptCount val="14"/>
                <c:pt idx="0">
                  <c:v>3.12</c:v>
                </c:pt>
                <c:pt idx="1">
                  <c:v>1.7</c:v>
                </c:pt>
                <c:pt idx="2">
                  <c:v>1.23</c:v>
                </c:pt>
                <c:pt idx="3">
                  <c:v>0.99</c:v>
                </c:pt>
                <c:pt idx="4">
                  <c:v>0.85</c:v>
                </c:pt>
                <c:pt idx="5">
                  <c:v>0.76</c:v>
                </c:pt>
                <c:pt idx="6">
                  <c:v>0.69</c:v>
                </c:pt>
                <c:pt idx="7">
                  <c:v>0.82</c:v>
                </c:pt>
                <c:pt idx="8">
                  <c:v>0.76</c:v>
                </c:pt>
                <c:pt idx="9">
                  <c:v>0.71</c:v>
                </c:pt>
                <c:pt idx="10">
                  <c:v>0.67</c:v>
                </c:pt>
                <c:pt idx="11">
                  <c:v>0.64</c:v>
                </c:pt>
                <c:pt idx="12">
                  <c:v>0.61</c:v>
                </c:pt>
                <c:pt idx="13">
                  <c:v>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45-4A3D-B254-92965AFE3C62}"/>
            </c:ext>
          </c:extLst>
        </c:ser>
        <c:ser>
          <c:idx val="14"/>
          <c:order val="14"/>
          <c:tx>
            <c:strRef>
              <c:f>Hoja3!$B$18</c:f>
              <c:strCache>
                <c:ptCount val="1"/>
                <c:pt idx="0">
                  <c:v>BIOMETANO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Hoja3!$C$3:$P$3</c:f>
              <c:strCache>
                <c:ptCount val="14"/>
                <c:pt idx="0">
                  <c:v>100 kms/dia</c:v>
                </c:pt>
                <c:pt idx="1">
                  <c:v>200 kms/dia</c:v>
                </c:pt>
                <c:pt idx="2">
                  <c:v>300 kms/dia</c:v>
                </c:pt>
                <c:pt idx="3">
                  <c:v>400 kms/dia</c:v>
                </c:pt>
                <c:pt idx="4">
                  <c:v>500 kms/dia</c:v>
                </c:pt>
                <c:pt idx="5">
                  <c:v>600 kms/dia</c:v>
                </c:pt>
                <c:pt idx="6">
                  <c:v>700 kms/dia</c:v>
                </c:pt>
                <c:pt idx="7">
                  <c:v>800 kms/dia</c:v>
                </c:pt>
                <c:pt idx="8">
                  <c:v>900 kms/dia</c:v>
                </c:pt>
                <c:pt idx="9">
                  <c:v>1000 kms/dia</c:v>
                </c:pt>
                <c:pt idx="10">
                  <c:v>1100 kms/dia</c:v>
                </c:pt>
                <c:pt idx="11">
                  <c:v>1200 kms/dia</c:v>
                </c:pt>
                <c:pt idx="12">
                  <c:v>1300 kms/dia</c:v>
                </c:pt>
                <c:pt idx="13">
                  <c:v>1400 kms/dia</c:v>
                </c:pt>
              </c:strCache>
            </c:strRef>
          </c:cat>
          <c:val>
            <c:numRef>
              <c:f>Hoja3!$C$18:$P$18</c:f>
              <c:numCache>
                <c:formatCode>General</c:formatCode>
                <c:ptCount val="14"/>
                <c:pt idx="0">
                  <c:v>3.72</c:v>
                </c:pt>
                <c:pt idx="1">
                  <c:v>2.0099999999999998</c:v>
                </c:pt>
                <c:pt idx="2">
                  <c:v>1.45</c:v>
                </c:pt>
                <c:pt idx="3">
                  <c:v>1.1599999999999999</c:v>
                </c:pt>
                <c:pt idx="4">
                  <c:v>0.99</c:v>
                </c:pt>
                <c:pt idx="5">
                  <c:v>0.88</c:v>
                </c:pt>
                <c:pt idx="6">
                  <c:v>0.8</c:v>
                </c:pt>
                <c:pt idx="7">
                  <c:v>0.93</c:v>
                </c:pt>
                <c:pt idx="8">
                  <c:v>0.86</c:v>
                </c:pt>
                <c:pt idx="9">
                  <c:v>0.81</c:v>
                </c:pt>
                <c:pt idx="10">
                  <c:v>0.76</c:v>
                </c:pt>
                <c:pt idx="11">
                  <c:v>0.73</c:v>
                </c:pt>
                <c:pt idx="12">
                  <c:v>0.69</c:v>
                </c:pt>
                <c:pt idx="13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45-4A3D-B254-92965AFE3C62}"/>
            </c:ext>
          </c:extLst>
        </c:ser>
        <c:ser>
          <c:idx val="15"/>
          <c:order val="15"/>
          <c:tx>
            <c:strRef>
              <c:f>Hoja3!$B$19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Hoja3!$C$3:$P$3</c:f>
              <c:strCache>
                <c:ptCount val="14"/>
                <c:pt idx="0">
                  <c:v>100 kms/dia</c:v>
                </c:pt>
                <c:pt idx="1">
                  <c:v>200 kms/dia</c:v>
                </c:pt>
                <c:pt idx="2">
                  <c:v>300 kms/dia</c:v>
                </c:pt>
                <c:pt idx="3">
                  <c:v>400 kms/dia</c:v>
                </c:pt>
                <c:pt idx="4">
                  <c:v>500 kms/dia</c:v>
                </c:pt>
                <c:pt idx="5">
                  <c:v>600 kms/dia</c:v>
                </c:pt>
                <c:pt idx="6">
                  <c:v>700 kms/dia</c:v>
                </c:pt>
                <c:pt idx="7">
                  <c:v>800 kms/dia</c:v>
                </c:pt>
                <c:pt idx="8">
                  <c:v>900 kms/dia</c:v>
                </c:pt>
                <c:pt idx="9">
                  <c:v>1000 kms/dia</c:v>
                </c:pt>
                <c:pt idx="10">
                  <c:v>1100 kms/dia</c:v>
                </c:pt>
                <c:pt idx="11">
                  <c:v>1200 kms/dia</c:v>
                </c:pt>
                <c:pt idx="12">
                  <c:v>1300 kms/dia</c:v>
                </c:pt>
                <c:pt idx="13">
                  <c:v>1400 kms/dia</c:v>
                </c:pt>
              </c:strCache>
            </c:strRef>
          </c:cat>
          <c:val>
            <c:numRef>
              <c:f>Hoja3!$C$19:$P$19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5-5645-4A3D-B254-92965AFE3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36679823"/>
        <c:axId val="16366819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Hoja3!$B$4</c15:sqref>
                        </c15:formulaRef>
                      </c:ext>
                    </c:extLst>
                    <c:strCache>
                      <c:ptCount val="1"/>
                      <c:pt idx="0">
                        <c:v>H2 (10€)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Hoja3!$C$3:$P$3</c15:sqref>
                        </c15:formulaRef>
                      </c:ext>
                    </c:extLst>
                    <c:strCache>
                      <c:ptCount val="14"/>
                      <c:pt idx="0">
                        <c:v>100 kms/dia</c:v>
                      </c:pt>
                      <c:pt idx="1">
                        <c:v>200 kms/dia</c:v>
                      </c:pt>
                      <c:pt idx="2">
                        <c:v>300 kms/dia</c:v>
                      </c:pt>
                      <c:pt idx="3">
                        <c:v>400 kms/dia</c:v>
                      </c:pt>
                      <c:pt idx="4">
                        <c:v>500 kms/dia</c:v>
                      </c:pt>
                      <c:pt idx="5">
                        <c:v>600 kms/dia</c:v>
                      </c:pt>
                      <c:pt idx="6">
                        <c:v>700 kms/dia</c:v>
                      </c:pt>
                      <c:pt idx="7">
                        <c:v>800 kms/dia</c:v>
                      </c:pt>
                      <c:pt idx="8">
                        <c:v>900 kms/dia</c:v>
                      </c:pt>
                      <c:pt idx="9">
                        <c:v>1000 kms/dia</c:v>
                      </c:pt>
                      <c:pt idx="10">
                        <c:v>1100 kms/dia</c:v>
                      </c:pt>
                      <c:pt idx="11">
                        <c:v>1200 kms/dia</c:v>
                      </c:pt>
                      <c:pt idx="12">
                        <c:v>1300 kms/dia</c:v>
                      </c:pt>
                      <c:pt idx="13">
                        <c:v>1400 kms/dia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Hoja3!$C$4:$P$4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5.76</c:v>
                      </c:pt>
                      <c:pt idx="1">
                        <c:v>3.3</c:v>
                      </c:pt>
                      <c:pt idx="2">
                        <c:v>2.4900000000000002</c:v>
                      </c:pt>
                      <c:pt idx="3">
                        <c:v>2.08</c:v>
                      </c:pt>
                      <c:pt idx="4">
                        <c:v>1.83</c:v>
                      </c:pt>
                      <c:pt idx="5">
                        <c:v>1.67</c:v>
                      </c:pt>
                      <c:pt idx="6">
                        <c:v>1.55</c:v>
                      </c:pt>
                      <c:pt idx="7">
                        <c:v>1.66</c:v>
                      </c:pt>
                      <c:pt idx="8">
                        <c:v>1.57</c:v>
                      </c:pt>
                      <c:pt idx="9" formatCode="0.0">
                        <c:v>1.5</c:v>
                      </c:pt>
                      <c:pt idx="10">
                        <c:v>1.44</c:v>
                      </c:pt>
                      <c:pt idx="11">
                        <c:v>1.39</c:v>
                      </c:pt>
                      <c:pt idx="12">
                        <c:v>1.35</c:v>
                      </c:pt>
                      <c:pt idx="13">
                        <c:v>1.32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5645-4A3D-B254-92965AFE3C6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Hoja3!$B$5</c15:sqref>
                        </c15:formulaRef>
                      </c:ext>
                    </c:extLst>
                    <c:strCache>
                      <c:ptCount val="1"/>
                      <c:pt idx="0">
                        <c:v>H2 (9€)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Hoja3!$C$3:$P$3</c15:sqref>
                        </c15:formulaRef>
                      </c:ext>
                    </c:extLst>
                    <c:strCache>
                      <c:ptCount val="14"/>
                      <c:pt idx="0">
                        <c:v>100 kms/dia</c:v>
                      </c:pt>
                      <c:pt idx="1">
                        <c:v>200 kms/dia</c:v>
                      </c:pt>
                      <c:pt idx="2">
                        <c:v>300 kms/dia</c:v>
                      </c:pt>
                      <c:pt idx="3">
                        <c:v>400 kms/dia</c:v>
                      </c:pt>
                      <c:pt idx="4">
                        <c:v>500 kms/dia</c:v>
                      </c:pt>
                      <c:pt idx="5">
                        <c:v>600 kms/dia</c:v>
                      </c:pt>
                      <c:pt idx="6">
                        <c:v>700 kms/dia</c:v>
                      </c:pt>
                      <c:pt idx="7">
                        <c:v>800 kms/dia</c:v>
                      </c:pt>
                      <c:pt idx="8">
                        <c:v>900 kms/dia</c:v>
                      </c:pt>
                      <c:pt idx="9">
                        <c:v>1000 kms/dia</c:v>
                      </c:pt>
                      <c:pt idx="10">
                        <c:v>1100 kms/dia</c:v>
                      </c:pt>
                      <c:pt idx="11">
                        <c:v>1200 kms/dia</c:v>
                      </c:pt>
                      <c:pt idx="12">
                        <c:v>1300 kms/dia</c:v>
                      </c:pt>
                      <c:pt idx="13">
                        <c:v>1400 kms/dia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Hoja3!$C$5:$P$5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5.67</c:v>
                      </c:pt>
                      <c:pt idx="1">
                        <c:v>3.22</c:v>
                      </c:pt>
                      <c:pt idx="2">
                        <c:v>2.4</c:v>
                      </c:pt>
                      <c:pt idx="3">
                        <c:v>2</c:v>
                      </c:pt>
                      <c:pt idx="4">
                        <c:v>1.75</c:v>
                      </c:pt>
                      <c:pt idx="5">
                        <c:v>1.59</c:v>
                      </c:pt>
                      <c:pt idx="6">
                        <c:v>1.47</c:v>
                      </c:pt>
                      <c:pt idx="7">
                        <c:v>1.58</c:v>
                      </c:pt>
                      <c:pt idx="8">
                        <c:v>1.49</c:v>
                      </c:pt>
                      <c:pt idx="9">
                        <c:v>1.42</c:v>
                      </c:pt>
                      <c:pt idx="10">
                        <c:v>1.36</c:v>
                      </c:pt>
                      <c:pt idx="11">
                        <c:v>1.31</c:v>
                      </c:pt>
                      <c:pt idx="12">
                        <c:v>1.27</c:v>
                      </c:pt>
                      <c:pt idx="13">
                        <c:v>1.23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645-4A3D-B254-92965AFE3C6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Hoja3!$B$6</c15:sqref>
                        </c15:formulaRef>
                      </c:ext>
                    </c:extLst>
                    <c:strCache>
                      <c:ptCount val="1"/>
                      <c:pt idx="0">
                        <c:v>H2 (8€)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Hoja3!$C$3:$P$3</c15:sqref>
                        </c15:formulaRef>
                      </c:ext>
                    </c:extLst>
                    <c:strCache>
                      <c:ptCount val="14"/>
                      <c:pt idx="0">
                        <c:v>100 kms/dia</c:v>
                      </c:pt>
                      <c:pt idx="1">
                        <c:v>200 kms/dia</c:v>
                      </c:pt>
                      <c:pt idx="2">
                        <c:v>300 kms/dia</c:v>
                      </c:pt>
                      <c:pt idx="3">
                        <c:v>400 kms/dia</c:v>
                      </c:pt>
                      <c:pt idx="4">
                        <c:v>500 kms/dia</c:v>
                      </c:pt>
                      <c:pt idx="5">
                        <c:v>600 kms/dia</c:v>
                      </c:pt>
                      <c:pt idx="6">
                        <c:v>700 kms/dia</c:v>
                      </c:pt>
                      <c:pt idx="7">
                        <c:v>800 kms/dia</c:v>
                      </c:pt>
                      <c:pt idx="8">
                        <c:v>900 kms/dia</c:v>
                      </c:pt>
                      <c:pt idx="9">
                        <c:v>1000 kms/dia</c:v>
                      </c:pt>
                      <c:pt idx="10">
                        <c:v>1100 kms/dia</c:v>
                      </c:pt>
                      <c:pt idx="11">
                        <c:v>1200 kms/dia</c:v>
                      </c:pt>
                      <c:pt idx="12">
                        <c:v>1300 kms/dia</c:v>
                      </c:pt>
                      <c:pt idx="13">
                        <c:v>1400 kms/dia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Hoja3!$C$6:$P$6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5.59</c:v>
                      </c:pt>
                      <c:pt idx="1">
                        <c:v>3.14</c:v>
                      </c:pt>
                      <c:pt idx="2">
                        <c:v>2.3199999999999998</c:v>
                      </c:pt>
                      <c:pt idx="3">
                        <c:v>1.91</c:v>
                      </c:pt>
                      <c:pt idx="4">
                        <c:v>1.67</c:v>
                      </c:pt>
                      <c:pt idx="5">
                        <c:v>1.5</c:v>
                      </c:pt>
                      <c:pt idx="6">
                        <c:v>1.39</c:v>
                      </c:pt>
                      <c:pt idx="7">
                        <c:v>1.5</c:v>
                      </c:pt>
                      <c:pt idx="8">
                        <c:v>1.41</c:v>
                      </c:pt>
                      <c:pt idx="9">
                        <c:v>1.34</c:v>
                      </c:pt>
                      <c:pt idx="10">
                        <c:v>1.28</c:v>
                      </c:pt>
                      <c:pt idx="11">
                        <c:v>1.23</c:v>
                      </c:pt>
                      <c:pt idx="12">
                        <c:v>1.19</c:v>
                      </c:pt>
                      <c:pt idx="13">
                        <c:v>1.1499999999999999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645-4A3D-B254-92965AFE3C6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Hoja3!$B$7</c15:sqref>
                        </c15:formulaRef>
                      </c:ext>
                    </c:extLst>
                    <c:strCache>
                      <c:ptCount val="1"/>
                      <c:pt idx="0">
                        <c:v>H2 (7€)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Hoja3!$C$3:$P$3</c15:sqref>
                        </c15:formulaRef>
                      </c:ext>
                    </c:extLst>
                    <c:strCache>
                      <c:ptCount val="14"/>
                      <c:pt idx="0">
                        <c:v>100 kms/dia</c:v>
                      </c:pt>
                      <c:pt idx="1">
                        <c:v>200 kms/dia</c:v>
                      </c:pt>
                      <c:pt idx="2">
                        <c:v>300 kms/dia</c:v>
                      </c:pt>
                      <c:pt idx="3">
                        <c:v>400 kms/dia</c:v>
                      </c:pt>
                      <c:pt idx="4">
                        <c:v>500 kms/dia</c:v>
                      </c:pt>
                      <c:pt idx="5">
                        <c:v>600 kms/dia</c:v>
                      </c:pt>
                      <c:pt idx="6">
                        <c:v>700 kms/dia</c:v>
                      </c:pt>
                      <c:pt idx="7">
                        <c:v>800 kms/dia</c:v>
                      </c:pt>
                      <c:pt idx="8">
                        <c:v>900 kms/dia</c:v>
                      </c:pt>
                      <c:pt idx="9">
                        <c:v>1000 kms/dia</c:v>
                      </c:pt>
                      <c:pt idx="10">
                        <c:v>1100 kms/dia</c:v>
                      </c:pt>
                      <c:pt idx="11">
                        <c:v>1200 kms/dia</c:v>
                      </c:pt>
                      <c:pt idx="12">
                        <c:v>1300 kms/dia</c:v>
                      </c:pt>
                      <c:pt idx="13">
                        <c:v>1400 kms/dia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Hoja3!$C$7:$P$7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5.51</c:v>
                      </c:pt>
                      <c:pt idx="1">
                        <c:v>3.05</c:v>
                      </c:pt>
                      <c:pt idx="2">
                        <c:v>2.2400000000000002</c:v>
                      </c:pt>
                      <c:pt idx="3">
                        <c:v>1.83</c:v>
                      </c:pt>
                      <c:pt idx="4">
                        <c:v>1.58</c:v>
                      </c:pt>
                      <c:pt idx="5">
                        <c:v>1.42</c:v>
                      </c:pt>
                      <c:pt idx="6">
                        <c:v>1.3</c:v>
                      </c:pt>
                      <c:pt idx="7">
                        <c:v>1.41</c:v>
                      </c:pt>
                      <c:pt idx="8">
                        <c:v>1.32</c:v>
                      </c:pt>
                      <c:pt idx="9">
                        <c:v>1.25</c:v>
                      </c:pt>
                      <c:pt idx="10">
                        <c:v>1.19</c:v>
                      </c:pt>
                      <c:pt idx="11">
                        <c:v>1.1399999999999999</c:v>
                      </c:pt>
                      <c:pt idx="12">
                        <c:v>1.1000000000000001</c:v>
                      </c:pt>
                      <c:pt idx="13">
                        <c:v>1.07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645-4A3D-B254-92965AFE3C6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Hoja3!$B$8</c15:sqref>
                        </c15:formulaRef>
                      </c:ext>
                    </c:extLst>
                    <c:strCache>
                      <c:ptCount val="1"/>
                      <c:pt idx="0">
                        <c:v>H2 (6€)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Hoja3!$C$3:$P$3</c15:sqref>
                        </c15:formulaRef>
                      </c:ext>
                    </c:extLst>
                    <c:strCache>
                      <c:ptCount val="14"/>
                      <c:pt idx="0">
                        <c:v>100 kms/dia</c:v>
                      </c:pt>
                      <c:pt idx="1">
                        <c:v>200 kms/dia</c:v>
                      </c:pt>
                      <c:pt idx="2">
                        <c:v>300 kms/dia</c:v>
                      </c:pt>
                      <c:pt idx="3">
                        <c:v>400 kms/dia</c:v>
                      </c:pt>
                      <c:pt idx="4">
                        <c:v>500 kms/dia</c:v>
                      </c:pt>
                      <c:pt idx="5">
                        <c:v>600 kms/dia</c:v>
                      </c:pt>
                      <c:pt idx="6">
                        <c:v>700 kms/dia</c:v>
                      </c:pt>
                      <c:pt idx="7">
                        <c:v>800 kms/dia</c:v>
                      </c:pt>
                      <c:pt idx="8">
                        <c:v>900 kms/dia</c:v>
                      </c:pt>
                      <c:pt idx="9">
                        <c:v>1000 kms/dia</c:v>
                      </c:pt>
                      <c:pt idx="10">
                        <c:v>1100 kms/dia</c:v>
                      </c:pt>
                      <c:pt idx="11">
                        <c:v>1200 kms/dia</c:v>
                      </c:pt>
                      <c:pt idx="12">
                        <c:v>1300 kms/dia</c:v>
                      </c:pt>
                      <c:pt idx="13">
                        <c:v>1400 kms/dia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Hoja3!$C$8:$P$8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5.42</c:v>
                      </c:pt>
                      <c:pt idx="1">
                        <c:v>2.97</c:v>
                      </c:pt>
                      <c:pt idx="2">
                        <c:v>2.15</c:v>
                      </c:pt>
                      <c:pt idx="3">
                        <c:v>1.75</c:v>
                      </c:pt>
                      <c:pt idx="4">
                        <c:v>1.5</c:v>
                      </c:pt>
                      <c:pt idx="5">
                        <c:v>1.34</c:v>
                      </c:pt>
                      <c:pt idx="6">
                        <c:v>1.22</c:v>
                      </c:pt>
                      <c:pt idx="7">
                        <c:v>1.33</c:v>
                      </c:pt>
                      <c:pt idx="8">
                        <c:v>1.24</c:v>
                      </c:pt>
                      <c:pt idx="9">
                        <c:v>1.17</c:v>
                      </c:pt>
                      <c:pt idx="10">
                        <c:v>1.1100000000000001</c:v>
                      </c:pt>
                      <c:pt idx="11">
                        <c:v>1.06</c:v>
                      </c:pt>
                      <c:pt idx="12">
                        <c:v>1.02</c:v>
                      </c:pt>
                      <c:pt idx="13">
                        <c:v>0.98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645-4A3D-B254-92965AFE3C6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Hoja3!$B$9</c15:sqref>
                        </c15:formulaRef>
                      </c:ext>
                    </c:extLst>
                    <c:strCache>
                      <c:ptCount val="1"/>
                      <c:pt idx="0">
                        <c:v>H2 (5€)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Hoja3!$C$3:$P$3</c15:sqref>
                        </c15:formulaRef>
                      </c:ext>
                    </c:extLst>
                    <c:strCache>
                      <c:ptCount val="14"/>
                      <c:pt idx="0">
                        <c:v>100 kms/dia</c:v>
                      </c:pt>
                      <c:pt idx="1">
                        <c:v>200 kms/dia</c:v>
                      </c:pt>
                      <c:pt idx="2">
                        <c:v>300 kms/dia</c:v>
                      </c:pt>
                      <c:pt idx="3">
                        <c:v>400 kms/dia</c:v>
                      </c:pt>
                      <c:pt idx="4">
                        <c:v>500 kms/dia</c:v>
                      </c:pt>
                      <c:pt idx="5">
                        <c:v>600 kms/dia</c:v>
                      </c:pt>
                      <c:pt idx="6">
                        <c:v>700 kms/dia</c:v>
                      </c:pt>
                      <c:pt idx="7">
                        <c:v>800 kms/dia</c:v>
                      </c:pt>
                      <c:pt idx="8">
                        <c:v>900 kms/dia</c:v>
                      </c:pt>
                      <c:pt idx="9">
                        <c:v>1000 kms/dia</c:v>
                      </c:pt>
                      <c:pt idx="10">
                        <c:v>1100 kms/dia</c:v>
                      </c:pt>
                      <c:pt idx="11">
                        <c:v>1200 kms/dia</c:v>
                      </c:pt>
                      <c:pt idx="12">
                        <c:v>1300 kms/dia</c:v>
                      </c:pt>
                      <c:pt idx="13">
                        <c:v>1400 kms/dia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Hoja3!$C$9:$P$9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5.34</c:v>
                      </c:pt>
                      <c:pt idx="1">
                        <c:v>2.89</c:v>
                      </c:pt>
                      <c:pt idx="2">
                        <c:v>2.0699999999999998</c:v>
                      </c:pt>
                      <c:pt idx="3">
                        <c:v>1.66</c:v>
                      </c:pt>
                      <c:pt idx="4">
                        <c:v>1.42</c:v>
                      </c:pt>
                      <c:pt idx="5">
                        <c:v>1.25</c:v>
                      </c:pt>
                      <c:pt idx="6">
                        <c:v>1.1399999999999999</c:v>
                      </c:pt>
                      <c:pt idx="7">
                        <c:v>1.25</c:v>
                      </c:pt>
                      <c:pt idx="8">
                        <c:v>1.1599999999999999</c:v>
                      </c:pt>
                      <c:pt idx="9">
                        <c:v>1.0900000000000001</c:v>
                      </c:pt>
                      <c:pt idx="10">
                        <c:v>1.03</c:v>
                      </c:pt>
                      <c:pt idx="11">
                        <c:v>0.98</c:v>
                      </c:pt>
                      <c:pt idx="12">
                        <c:v>0.94</c:v>
                      </c:pt>
                      <c:pt idx="13">
                        <c:v>0.9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645-4A3D-B254-92965AFE3C6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Hoja3!$B$10</c15:sqref>
                        </c15:formulaRef>
                      </c:ext>
                    </c:extLst>
                    <c:strCache>
                      <c:ptCount val="1"/>
                      <c:pt idx="0">
                        <c:v>H2 (4€)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Hoja3!$C$3:$P$3</c15:sqref>
                        </c15:formulaRef>
                      </c:ext>
                    </c:extLst>
                    <c:strCache>
                      <c:ptCount val="14"/>
                      <c:pt idx="0">
                        <c:v>100 kms/dia</c:v>
                      </c:pt>
                      <c:pt idx="1">
                        <c:v>200 kms/dia</c:v>
                      </c:pt>
                      <c:pt idx="2">
                        <c:v>300 kms/dia</c:v>
                      </c:pt>
                      <c:pt idx="3">
                        <c:v>400 kms/dia</c:v>
                      </c:pt>
                      <c:pt idx="4">
                        <c:v>500 kms/dia</c:v>
                      </c:pt>
                      <c:pt idx="5">
                        <c:v>600 kms/dia</c:v>
                      </c:pt>
                      <c:pt idx="6">
                        <c:v>700 kms/dia</c:v>
                      </c:pt>
                      <c:pt idx="7">
                        <c:v>800 kms/dia</c:v>
                      </c:pt>
                      <c:pt idx="8">
                        <c:v>900 kms/dia</c:v>
                      </c:pt>
                      <c:pt idx="9">
                        <c:v>1000 kms/dia</c:v>
                      </c:pt>
                      <c:pt idx="10">
                        <c:v>1100 kms/dia</c:v>
                      </c:pt>
                      <c:pt idx="11">
                        <c:v>1200 kms/dia</c:v>
                      </c:pt>
                      <c:pt idx="12">
                        <c:v>1300 kms/dia</c:v>
                      </c:pt>
                      <c:pt idx="13">
                        <c:v>1400 kms/dia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Hoja3!$C$10:$P$10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5.26</c:v>
                      </c:pt>
                      <c:pt idx="1">
                        <c:v>2.81</c:v>
                      </c:pt>
                      <c:pt idx="2">
                        <c:v>1.99</c:v>
                      </c:pt>
                      <c:pt idx="3">
                        <c:v>1.58</c:v>
                      </c:pt>
                      <c:pt idx="4">
                        <c:v>1.33</c:v>
                      </c:pt>
                      <c:pt idx="5">
                        <c:v>1.17</c:v>
                      </c:pt>
                      <c:pt idx="6">
                        <c:v>1.05</c:v>
                      </c:pt>
                      <c:pt idx="7">
                        <c:v>1.1599999999999999</c:v>
                      </c:pt>
                      <c:pt idx="8">
                        <c:v>1.07</c:v>
                      </c:pt>
                      <c:pt idx="9">
                        <c:v>1</c:v>
                      </c:pt>
                      <c:pt idx="10">
                        <c:v>0.94</c:v>
                      </c:pt>
                      <c:pt idx="11">
                        <c:v>0.89</c:v>
                      </c:pt>
                      <c:pt idx="12">
                        <c:v>0.85</c:v>
                      </c:pt>
                      <c:pt idx="13">
                        <c:v>0.82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645-4A3D-B254-92965AFE3C62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Hoja3!$B$13</c15:sqref>
                        </c15:formulaRef>
                      </c:ext>
                    </c:extLst>
                    <c:strCache>
                      <c:ptCount val="1"/>
                      <c:pt idx="0">
                        <c:v>H2 (1€)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Hoja3!$C$3:$P$3</c15:sqref>
                        </c15:formulaRef>
                      </c:ext>
                    </c:extLst>
                    <c:strCache>
                      <c:ptCount val="14"/>
                      <c:pt idx="0">
                        <c:v>100 kms/dia</c:v>
                      </c:pt>
                      <c:pt idx="1">
                        <c:v>200 kms/dia</c:v>
                      </c:pt>
                      <c:pt idx="2">
                        <c:v>300 kms/dia</c:v>
                      </c:pt>
                      <c:pt idx="3">
                        <c:v>400 kms/dia</c:v>
                      </c:pt>
                      <c:pt idx="4">
                        <c:v>500 kms/dia</c:v>
                      </c:pt>
                      <c:pt idx="5">
                        <c:v>600 kms/dia</c:v>
                      </c:pt>
                      <c:pt idx="6">
                        <c:v>700 kms/dia</c:v>
                      </c:pt>
                      <c:pt idx="7">
                        <c:v>800 kms/dia</c:v>
                      </c:pt>
                      <c:pt idx="8">
                        <c:v>900 kms/dia</c:v>
                      </c:pt>
                      <c:pt idx="9">
                        <c:v>1000 kms/dia</c:v>
                      </c:pt>
                      <c:pt idx="10">
                        <c:v>1100 kms/dia</c:v>
                      </c:pt>
                      <c:pt idx="11">
                        <c:v>1200 kms/dia</c:v>
                      </c:pt>
                      <c:pt idx="12">
                        <c:v>1300 kms/dia</c:v>
                      </c:pt>
                      <c:pt idx="13">
                        <c:v>1400 kms/dia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Hoja3!$C$13:$P$13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5.01</c:v>
                      </c:pt>
                      <c:pt idx="1">
                        <c:v>2.56</c:v>
                      </c:pt>
                      <c:pt idx="2">
                        <c:v>1.74</c:v>
                      </c:pt>
                      <c:pt idx="3">
                        <c:v>1.33</c:v>
                      </c:pt>
                      <c:pt idx="4">
                        <c:v>1.08</c:v>
                      </c:pt>
                      <c:pt idx="5">
                        <c:v>0.92</c:v>
                      </c:pt>
                      <c:pt idx="6">
                        <c:v>0.8</c:v>
                      </c:pt>
                      <c:pt idx="7">
                        <c:v>0.92</c:v>
                      </c:pt>
                      <c:pt idx="8">
                        <c:v>0.82</c:v>
                      </c:pt>
                      <c:pt idx="9">
                        <c:v>0.75</c:v>
                      </c:pt>
                      <c:pt idx="10">
                        <c:v>0.69</c:v>
                      </c:pt>
                      <c:pt idx="11">
                        <c:v>0.64</c:v>
                      </c:pt>
                      <c:pt idx="12">
                        <c:v>0.6</c:v>
                      </c:pt>
                      <c:pt idx="13">
                        <c:v>0.56999999999999995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645-4A3D-B254-92965AFE3C62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Hoja3!$B$15</c15:sqref>
                        </c15:formulaRef>
                      </c:ext>
                    </c:extLst>
                    <c:strCache>
                      <c:ptCount val="1"/>
                      <c:pt idx="0">
                        <c:v>GASOIL (1 €)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Hoja3!$C$3:$P$3</c15:sqref>
                        </c15:formulaRef>
                      </c:ext>
                    </c:extLst>
                    <c:strCache>
                      <c:ptCount val="14"/>
                      <c:pt idx="0">
                        <c:v>100 kms/dia</c:v>
                      </c:pt>
                      <c:pt idx="1">
                        <c:v>200 kms/dia</c:v>
                      </c:pt>
                      <c:pt idx="2">
                        <c:v>300 kms/dia</c:v>
                      </c:pt>
                      <c:pt idx="3">
                        <c:v>400 kms/dia</c:v>
                      </c:pt>
                      <c:pt idx="4">
                        <c:v>500 kms/dia</c:v>
                      </c:pt>
                      <c:pt idx="5">
                        <c:v>600 kms/dia</c:v>
                      </c:pt>
                      <c:pt idx="6">
                        <c:v>700 kms/dia</c:v>
                      </c:pt>
                      <c:pt idx="7">
                        <c:v>800 kms/dia</c:v>
                      </c:pt>
                      <c:pt idx="8">
                        <c:v>900 kms/dia</c:v>
                      </c:pt>
                      <c:pt idx="9">
                        <c:v>1000 kms/dia</c:v>
                      </c:pt>
                      <c:pt idx="10">
                        <c:v>1100 kms/dia</c:v>
                      </c:pt>
                      <c:pt idx="11">
                        <c:v>1200 kms/dia</c:v>
                      </c:pt>
                      <c:pt idx="12">
                        <c:v>1300 kms/dia</c:v>
                      </c:pt>
                      <c:pt idx="13">
                        <c:v>1400 kms/dia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Hoja3!$C$15:$P$15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3.19</c:v>
                      </c:pt>
                      <c:pt idx="1">
                        <c:v>1.77</c:v>
                      </c:pt>
                      <c:pt idx="2">
                        <c:v>1.29</c:v>
                      </c:pt>
                      <c:pt idx="3">
                        <c:v>1.06</c:v>
                      </c:pt>
                      <c:pt idx="4">
                        <c:v>0.92</c:v>
                      </c:pt>
                      <c:pt idx="5">
                        <c:v>0.82</c:v>
                      </c:pt>
                      <c:pt idx="6">
                        <c:v>0.75</c:v>
                      </c:pt>
                      <c:pt idx="7">
                        <c:v>0.88</c:v>
                      </c:pt>
                      <c:pt idx="8">
                        <c:v>0.82</c:v>
                      </c:pt>
                      <c:pt idx="9">
                        <c:v>0.78</c:v>
                      </c:pt>
                      <c:pt idx="10">
                        <c:v>0.94</c:v>
                      </c:pt>
                      <c:pt idx="11">
                        <c:v>0.89</c:v>
                      </c:pt>
                      <c:pt idx="12">
                        <c:v>0.85</c:v>
                      </c:pt>
                      <c:pt idx="13">
                        <c:v>0.82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645-4A3D-B254-92965AFE3C62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Hoja3!$B$16</c15:sqref>
                        </c15:formulaRef>
                      </c:ext>
                    </c:extLst>
                    <c:strCache>
                      <c:ptCount val="1"/>
                      <c:pt idx="0">
                        <c:v>GASOIL (0,9 €)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Hoja3!$C$3:$P$3</c15:sqref>
                        </c15:formulaRef>
                      </c:ext>
                    </c:extLst>
                    <c:strCache>
                      <c:ptCount val="14"/>
                      <c:pt idx="0">
                        <c:v>100 kms/dia</c:v>
                      </c:pt>
                      <c:pt idx="1">
                        <c:v>200 kms/dia</c:v>
                      </c:pt>
                      <c:pt idx="2">
                        <c:v>300 kms/dia</c:v>
                      </c:pt>
                      <c:pt idx="3">
                        <c:v>400 kms/dia</c:v>
                      </c:pt>
                      <c:pt idx="4">
                        <c:v>500 kms/dia</c:v>
                      </c:pt>
                      <c:pt idx="5">
                        <c:v>600 kms/dia</c:v>
                      </c:pt>
                      <c:pt idx="6">
                        <c:v>700 kms/dia</c:v>
                      </c:pt>
                      <c:pt idx="7">
                        <c:v>800 kms/dia</c:v>
                      </c:pt>
                      <c:pt idx="8">
                        <c:v>900 kms/dia</c:v>
                      </c:pt>
                      <c:pt idx="9">
                        <c:v>1000 kms/dia</c:v>
                      </c:pt>
                      <c:pt idx="10">
                        <c:v>1100 kms/dia</c:v>
                      </c:pt>
                      <c:pt idx="11">
                        <c:v>1200 kms/dia</c:v>
                      </c:pt>
                      <c:pt idx="12">
                        <c:v>1300 kms/dia</c:v>
                      </c:pt>
                      <c:pt idx="13">
                        <c:v>1400 kms/dia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Hoja3!$C$16:$P$16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3.15</c:v>
                      </c:pt>
                      <c:pt idx="1">
                        <c:v>1.73</c:v>
                      </c:pt>
                      <c:pt idx="2">
                        <c:v>1.26</c:v>
                      </c:pt>
                      <c:pt idx="3">
                        <c:v>1.03</c:v>
                      </c:pt>
                      <c:pt idx="4">
                        <c:v>0.88</c:v>
                      </c:pt>
                      <c:pt idx="5">
                        <c:v>0.79</c:v>
                      </c:pt>
                      <c:pt idx="6">
                        <c:v>0.72</c:v>
                      </c:pt>
                      <c:pt idx="7">
                        <c:v>0.85</c:v>
                      </c:pt>
                      <c:pt idx="8">
                        <c:v>0.79</c:v>
                      </c:pt>
                      <c:pt idx="9">
                        <c:v>0.74</c:v>
                      </c:pt>
                      <c:pt idx="10">
                        <c:v>0.7</c:v>
                      </c:pt>
                      <c:pt idx="11">
                        <c:v>0.67</c:v>
                      </c:pt>
                      <c:pt idx="12">
                        <c:v>0.65</c:v>
                      </c:pt>
                      <c:pt idx="13">
                        <c:v>0.62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5645-4A3D-B254-92965AFE3C62}"/>
                  </c:ext>
                </c:extLst>
              </c15:ser>
            </c15:filteredBarSeries>
          </c:ext>
        </c:extLst>
      </c:barChart>
      <c:catAx>
        <c:axId val="163667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6681903"/>
        <c:crosses val="autoZero"/>
        <c:auto val="1"/>
        <c:lblAlgn val="ctr"/>
        <c:lblOffset val="100"/>
        <c:noMultiLvlLbl val="0"/>
      </c:catAx>
      <c:valAx>
        <c:axId val="16366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667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COSTE COMPARADO POR TIPO DE VEHÍCULO 100 KMS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GRAFICOS!$S$64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GRAFICOS!$T$63</c:f>
              <c:strCache>
                <c:ptCount val="1"/>
                <c:pt idx="0">
                  <c:v>100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GRAFICOS!$T$64:$Z$64</c15:sqref>
                  </c15:fullRef>
                </c:ext>
              </c:extLst>
              <c:f>GRAFICOS!$T$64</c:f>
              <c:numCache>
                <c:formatCode>0.00</c:formatCode>
                <c:ptCount val="1"/>
                <c:pt idx="0">
                  <c:v>3.15277090909091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C-44A0-B1BC-CC98F6BC78B1}"/>
            </c:ext>
          </c:extLst>
        </c:ser>
        <c:ser>
          <c:idx val="1"/>
          <c:order val="1"/>
          <c:tx>
            <c:strRef>
              <c:f>GRAFICOS!$S$65</c:f>
              <c:strCache>
                <c:ptCount val="1"/>
                <c:pt idx="0">
                  <c:v>GAS NATURAL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GRAFICOS!$T$63</c:f>
              <c:strCache>
                <c:ptCount val="1"/>
                <c:pt idx="0">
                  <c:v>100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GRAFICOS!$T$65:$Z$65</c15:sqref>
                  </c15:fullRef>
                </c:ext>
              </c:extLst>
              <c:f>GRAFICOS!$T$65</c:f>
              <c:numCache>
                <c:formatCode>0.00</c:formatCode>
                <c:ptCount val="1"/>
                <c:pt idx="0">
                  <c:v>3.5780987636363641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3C-44A0-B1BC-CC98F6BC78B1}"/>
            </c:ext>
          </c:extLst>
        </c:ser>
        <c:ser>
          <c:idx val="2"/>
          <c:order val="2"/>
          <c:tx>
            <c:strRef>
              <c:f>GRAFICOS!$S$66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GRAFICOS!$T$63</c:f>
              <c:strCache>
                <c:ptCount val="1"/>
                <c:pt idx="0">
                  <c:v>100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GRAFICOS!$T$66:$Z$66</c15:sqref>
                  </c15:fullRef>
                </c:ext>
              </c:extLst>
              <c:f>GRAFICOS!$T$66</c:f>
              <c:numCache>
                <c:formatCode>0.00</c:formatCode>
                <c:ptCount val="1"/>
                <c:pt idx="0">
                  <c:v>4.3134354909090913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3C-44A0-B1BC-CC98F6BC78B1}"/>
            </c:ext>
          </c:extLst>
        </c:ser>
        <c:ser>
          <c:idx val="3"/>
          <c:order val="3"/>
          <c:tx>
            <c:strRef>
              <c:f>GRAFICOS!$S$67</c:f>
              <c:strCache>
                <c:ptCount val="1"/>
                <c:pt idx="0">
                  <c:v>BIOMETANO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GRAFICOS!$T$63</c:f>
              <c:strCache>
                <c:ptCount val="1"/>
                <c:pt idx="0">
                  <c:v>100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GRAFICOS!$T$67:$Z$67</c15:sqref>
                  </c15:fullRef>
                </c:ext>
              </c:extLst>
              <c:f>GRAFICOS!$T$67</c:f>
              <c:numCache>
                <c:formatCode>0.00</c:formatCode>
                <c:ptCount val="1"/>
                <c:pt idx="0">
                  <c:v>3.7016507636363638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3C-44A0-B1BC-CC98F6BC78B1}"/>
            </c:ext>
          </c:extLst>
        </c:ser>
        <c:ser>
          <c:idx val="4"/>
          <c:order val="4"/>
          <c:tx>
            <c:strRef>
              <c:f>GRAFICOS!$S$68</c:f>
              <c:strCache>
                <c:ptCount val="1"/>
                <c:pt idx="0">
                  <c:v>ELECTRICO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GRAFICOS!$T$63</c:f>
              <c:strCache>
                <c:ptCount val="1"/>
                <c:pt idx="0">
                  <c:v>100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GRAFICOS!$T$68:$Z$68</c15:sqref>
                  </c15:fullRef>
                </c:ext>
              </c:extLst>
              <c:f>GRAFICOS!$T$68</c:f>
              <c:numCache>
                <c:formatCode>0.00</c:formatCode>
                <c:ptCount val="1"/>
                <c:pt idx="0">
                  <c:v>4.2361445818181815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3C-44A0-B1BC-CC98F6BC78B1}"/>
            </c:ext>
          </c:extLst>
        </c:ser>
        <c:ser>
          <c:idx val="5"/>
          <c:order val="5"/>
          <c:tx>
            <c:strRef>
              <c:f>GRAFICOS!$S$69</c:f>
              <c:strCache>
                <c:ptCount val="1"/>
                <c:pt idx="0">
                  <c:v>HVO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GRAFICOS!$T$63</c:f>
              <c:strCache>
                <c:ptCount val="1"/>
                <c:pt idx="0">
                  <c:v>100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GRAFICOS!$T$69:$Z$69</c15:sqref>
                  </c15:fullRef>
                </c:ext>
              </c:extLst>
              <c:f>GRAFICOS!$T$69</c:f>
              <c:numCache>
                <c:formatCode>0.00</c:formatCode>
                <c:ptCount val="1"/>
                <c:pt idx="0">
                  <c:v>3.5131309090909095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3C-44A0-B1BC-CC98F6BC78B1}"/>
            </c:ext>
          </c:extLst>
        </c:ser>
        <c:ser>
          <c:idx val="6"/>
          <c:order val="6"/>
          <c:tx>
            <c:strRef>
              <c:f>GRAFICOS!$S$70</c:f>
              <c:strCache>
                <c:ptCount val="1"/>
                <c:pt idx="0">
                  <c:v>DUO H2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GRAFICOS!$T$63</c:f>
              <c:strCache>
                <c:ptCount val="1"/>
                <c:pt idx="0">
                  <c:v>100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GRAFICOS!$T$70:$Z$70</c15:sqref>
                  </c15:fullRef>
                </c:ext>
              </c:extLst>
              <c:f>GRAFICOS!$T$70</c:f>
              <c:numCache>
                <c:formatCode>0.00</c:formatCode>
                <c:ptCount val="1"/>
                <c:pt idx="0">
                  <c:v>2.491257381818182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3C-44A0-B1BC-CC98F6BC78B1}"/>
            </c:ext>
          </c:extLst>
        </c:ser>
        <c:ser>
          <c:idx val="7"/>
          <c:order val="7"/>
          <c:tx>
            <c:strRef>
              <c:f>GRAFICOS!$S$71</c:f>
              <c:strCache>
                <c:ptCount val="1"/>
                <c:pt idx="0">
                  <c:v>DUO GASOIL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GRAFICOS!$T$63</c:f>
              <c:strCache>
                <c:ptCount val="1"/>
                <c:pt idx="0">
                  <c:v>100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GRAFICOS!$T$71:$Z$71</c15:sqref>
                  </c15:fullRef>
                </c:ext>
              </c:extLst>
              <c:f>GRAFICOS!$T$71</c:f>
              <c:numCache>
                <c:formatCode>0.00</c:formatCode>
                <c:ptCount val="1"/>
                <c:pt idx="0">
                  <c:v>2.1101399272727273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83C-44A0-B1BC-CC98F6BC78B1}"/>
            </c:ext>
          </c:extLst>
        </c:ser>
        <c:ser>
          <c:idx val="8"/>
          <c:order val="8"/>
          <c:tx>
            <c:strRef>
              <c:f>GRAFICOS!$S$72</c:f>
              <c:strCache>
                <c:ptCount val="1"/>
                <c:pt idx="0">
                  <c:v>DUO BIOMETANO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GRAFICOS!$T$63</c:f>
              <c:strCache>
                <c:ptCount val="1"/>
                <c:pt idx="0">
                  <c:v>100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GRAFICOS!$T$72:$Z$72</c15:sqref>
                  </c15:fullRef>
                </c:ext>
              </c:extLst>
              <c:f>GRAFICOS!$T$72</c:f>
              <c:numCache>
                <c:formatCode>0.00</c:formatCode>
                <c:ptCount val="1"/>
                <c:pt idx="0">
                  <c:v>2.2237353454545454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3C-44A0-B1BC-CC98F6BC78B1}"/>
            </c:ext>
          </c:extLst>
        </c:ser>
        <c:ser>
          <c:idx val="9"/>
          <c:order val="9"/>
          <c:tx>
            <c:strRef>
              <c:f>GRAFICOS!$S$73</c:f>
              <c:strCache>
                <c:ptCount val="1"/>
                <c:pt idx="0">
                  <c:v>DUO HVO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GRAFICOS!$T$63</c:f>
              <c:strCache>
                <c:ptCount val="1"/>
                <c:pt idx="0">
                  <c:v>100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GRAFICOS!$T$73:$Z$73</c15:sqref>
                  </c15:fullRef>
                </c:ext>
              </c:extLst>
              <c:f>GRAFICOS!$T$73</c:f>
              <c:numCache>
                <c:formatCode>0.00</c:formatCode>
                <c:ptCount val="1"/>
                <c:pt idx="0">
                  <c:v>2.3623919272727272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83C-44A0-B1BC-CC98F6BC78B1}"/>
            </c:ext>
          </c:extLst>
        </c:ser>
        <c:ser>
          <c:idx val="10"/>
          <c:order val="10"/>
          <c:tx>
            <c:strRef>
              <c:f>GRAFICOS!$S$74</c:f>
              <c:strCache>
                <c:ptCount val="1"/>
                <c:pt idx="0">
                  <c:v>DUO ELECTRICO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GRAFICOS!$T$63</c:f>
              <c:strCache>
                <c:ptCount val="1"/>
                <c:pt idx="0">
                  <c:v>100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GRAFICOS!$T$74:$Z$74</c15:sqref>
                  </c15:fullRef>
                </c:ext>
              </c:extLst>
              <c:f>GRAFICOS!$T$74</c:f>
              <c:numCache>
                <c:formatCode>0.00</c:formatCode>
                <c:ptCount val="1"/>
                <c:pt idx="0">
                  <c:v>2.4384773818181822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83C-44A0-B1BC-CC98F6BC78B1}"/>
            </c:ext>
          </c:extLst>
        </c:ser>
        <c:ser>
          <c:idx val="11"/>
          <c:order val="11"/>
          <c:tx>
            <c:strRef>
              <c:f>GRAFICOS!$S$75</c:f>
              <c:strCache>
                <c:ptCount val="1"/>
                <c:pt idx="0">
                  <c:v>SECTOR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GRAFICOS!$T$63</c:f>
              <c:strCache>
                <c:ptCount val="1"/>
                <c:pt idx="0">
                  <c:v>100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GRAFICOS!$T$75:$Z$75</c15:sqref>
                  </c15:fullRef>
                </c:ext>
              </c:extLst>
              <c:f>GRAFICOS!$T$75</c:f>
              <c:numCache>
                <c:formatCode>General</c:formatCode>
                <c:ptCount val="1"/>
                <c:pt idx="0" formatCode="0.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83C-44A0-B1BC-CC98F6BC78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33041120"/>
        <c:axId val="433041536"/>
      </c:barChart>
      <c:catAx>
        <c:axId val="43304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41536"/>
        <c:crosses val="autoZero"/>
        <c:auto val="1"/>
        <c:lblAlgn val="ctr"/>
        <c:lblOffset val="100"/>
        <c:noMultiLvlLbl val="0"/>
      </c:catAx>
      <c:valAx>
        <c:axId val="43304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4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COSTE COMPARADO POR TIPO DE VEHÍCULO 300 KMS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GRAFICOS!$S$64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GRAFICOS!$V$63</c:f>
              <c:strCache>
                <c:ptCount val="1"/>
                <c:pt idx="0">
                  <c:v>300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GRAFICOS!$T$64:$Z$64</c15:sqref>
                  </c15:fullRef>
                </c:ext>
              </c:extLst>
              <c:f>GRAFICOS!$V$64</c:f>
              <c:numCache>
                <c:formatCode>0.00</c:formatCode>
                <c:ptCount val="1"/>
                <c:pt idx="0">
                  <c:v>1.2616276363636365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B-4EB1-B68C-EEC0E0651767}"/>
            </c:ext>
          </c:extLst>
        </c:ser>
        <c:ser>
          <c:idx val="1"/>
          <c:order val="1"/>
          <c:tx>
            <c:strRef>
              <c:f>GRAFICOS!$S$65</c:f>
              <c:strCache>
                <c:ptCount val="1"/>
                <c:pt idx="0">
                  <c:v>GAS NATURAL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GRAFICOS!$V$63</c:f>
              <c:strCache>
                <c:ptCount val="1"/>
                <c:pt idx="0">
                  <c:v>300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GRAFICOS!$T$65:$Z$65</c15:sqref>
                  </c15:fullRef>
                </c:ext>
              </c:extLst>
              <c:f>GRAFICOS!$V$65</c:f>
              <c:numCache>
                <c:formatCode>0.00</c:formatCode>
                <c:ptCount val="1"/>
                <c:pt idx="0">
                  <c:v>1.3163902545454547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2B-4EB1-B68C-EEC0E0651767}"/>
            </c:ext>
          </c:extLst>
        </c:ser>
        <c:ser>
          <c:idx val="2"/>
          <c:order val="2"/>
          <c:tx>
            <c:strRef>
              <c:f>GRAFICOS!$S$66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GRAFICOS!$V$63</c:f>
              <c:strCache>
                <c:ptCount val="1"/>
                <c:pt idx="0">
                  <c:v>300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GRAFICOS!$T$66:$Z$66</c15:sqref>
                  </c15:fullRef>
                </c:ext>
              </c:extLst>
              <c:f>GRAFICOS!$V$66</c:f>
              <c:numCache>
                <c:formatCode>0.00</c:formatCode>
                <c:ptCount val="1"/>
                <c:pt idx="0">
                  <c:v>1.6735451636363636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2B-4EB1-B68C-EEC0E0651767}"/>
            </c:ext>
          </c:extLst>
        </c:ser>
        <c:ser>
          <c:idx val="3"/>
          <c:order val="3"/>
          <c:tx>
            <c:strRef>
              <c:f>GRAFICOS!$S$67</c:f>
              <c:strCache>
                <c:ptCount val="1"/>
                <c:pt idx="0">
                  <c:v>BIOMETANO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GRAFICOS!$V$63</c:f>
              <c:strCache>
                <c:ptCount val="1"/>
                <c:pt idx="0">
                  <c:v>300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GRAFICOS!$T$67:$Z$67</c15:sqref>
                  </c15:fullRef>
                </c:ext>
              </c:extLst>
              <c:f>GRAFICOS!$V$67</c:f>
              <c:numCache>
                <c:formatCode>0.00</c:formatCode>
                <c:ptCount val="1"/>
                <c:pt idx="0">
                  <c:v>1.4399422545454545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2B-4EB1-B68C-EEC0E0651767}"/>
            </c:ext>
          </c:extLst>
        </c:ser>
        <c:ser>
          <c:idx val="4"/>
          <c:order val="4"/>
          <c:tx>
            <c:strRef>
              <c:f>GRAFICOS!$S$68</c:f>
              <c:strCache>
                <c:ptCount val="1"/>
                <c:pt idx="0">
                  <c:v>ELECTRICO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GRAFICOS!$V$63</c:f>
              <c:strCache>
                <c:ptCount val="1"/>
                <c:pt idx="0">
                  <c:v>300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GRAFICOS!$T$68:$Z$68</c15:sqref>
                  </c15:fullRef>
                </c:ext>
              </c:extLst>
              <c:f>GRAFICOS!$V$68</c:f>
              <c:numCache>
                <c:formatCode>0.00</c:formatCode>
                <c:ptCount val="1"/>
                <c:pt idx="0">
                  <c:v>1.5975148606060607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2B-4EB1-B68C-EEC0E0651767}"/>
            </c:ext>
          </c:extLst>
        </c:ser>
        <c:ser>
          <c:idx val="5"/>
          <c:order val="5"/>
          <c:tx>
            <c:strRef>
              <c:f>GRAFICOS!$S$69</c:f>
              <c:strCache>
                <c:ptCount val="1"/>
                <c:pt idx="0">
                  <c:v>HVO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GRAFICOS!$V$63</c:f>
              <c:strCache>
                <c:ptCount val="1"/>
                <c:pt idx="0">
                  <c:v>300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GRAFICOS!$T$69:$Z$69</c15:sqref>
                  </c15:fullRef>
                </c:ext>
              </c:extLst>
              <c:f>GRAFICOS!$V$69</c:f>
              <c:numCache>
                <c:formatCode>0.00</c:formatCode>
                <c:ptCount val="1"/>
                <c:pt idx="0">
                  <c:v>1.6219876363636365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2B-4EB1-B68C-EEC0E0651767}"/>
            </c:ext>
          </c:extLst>
        </c:ser>
        <c:ser>
          <c:idx val="6"/>
          <c:order val="6"/>
          <c:tx>
            <c:strRef>
              <c:f>GRAFICOS!$S$70</c:f>
              <c:strCache>
                <c:ptCount val="1"/>
                <c:pt idx="0">
                  <c:v>DUO H2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GRAFICOS!$V$63</c:f>
              <c:strCache>
                <c:ptCount val="1"/>
                <c:pt idx="0">
                  <c:v>300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GRAFICOS!$T$70:$Z$70</c15:sqref>
                  </c15:fullRef>
                </c:ext>
              </c:extLst>
              <c:f>GRAFICOS!$V$70</c:f>
              <c:numCache>
                <c:formatCode>0.00</c:formatCode>
                <c:ptCount val="1"/>
                <c:pt idx="0">
                  <c:v>0.99986979393939401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2B-4EB1-B68C-EEC0E0651767}"/>
            </c:ext>
          </c:extLst>
        </c:ser>
        <c:ser>
          <c:idx val="7"/>
          <c:order val="7"/>
          <c:tx>
            <c:strRef>
              <c:f>GRAFICOS!$S$71</c:f>
              <c:strCache>
                <c:ptCount val="1"/>
                <c:pt idx="0">
                  <c:v>DUO GASOIL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GRAFICOS!$V$63</c:f>
              <c:strCache>
                <c:ptCount val="1"/>
                <c:pt idx="0">
                  <c:v>300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GRAFICOS!$T$71:$Z$71</c15:sqref>
                  </c15:fullRef>
                </c:ext>
              </c:extLst>
              <c:f>GRAFICOS!$V$71</c:f>
              <c:numCache>
                <c:formatCode>0.00</c:formatCode>
                <c:ptCount val="1"/>
                <c:pt idx="0">
                  <c:v>0.85511597575757581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2B-4EB1-B68C-EEC0E0651767}"/>
            </c:ext>
          </c:extLst>
        </c:ser>
        <c:ser>
          <c:idx val="8"/>
          <c:order val="8"/>
          <c:tx>
            <c:strRef>
              <c:f>GRAFICOS!$S$72</c:f>
              <c:strCache>
                <c:ptCount val="1"/>
                <c:pt idx="0">
                  <c:v>DUO BIOMETANO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GRAFICOS!$V$63</c:f>
              <c:strCache>
                <c:ptCount val="1"/>
                <c:pt idx="0">
                  <c:v>300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GRAFICOS!$T$72:$Z$72</c15:sqref>
                  </c15:fullRef>
                </c:ext>
              </c:extLst>
              <c:f>GRAFICOS!$V$72</c:f>
              <c:numCache>
                <c:formatCode>0.00</c:formatCode>
                <c:ptCount val="1"/>
                <c:pt idx="0">
                  <c:v>0.88992351515151513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2B-4EB1-B68C-EEC0E0651767}"/>
            </c:ext>
          </c:extLst>
        </c:ser>
        <c:ser>
          <c:idx val="9"/>
          <c:order val="9"/>
          <c:tx>
            <c:strRef>
              <c:f>GRAFICOS!$S$73</c:f>
              <c:strCache>
                <c:ptCount val="1"/>
                <c:pt idx="0">
                  <c:v>DUO HVO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GRAFICOS!$V$63</c:f>
              <c:strCache>
                <c:ptCount val="1"/>
                <c:pt idx="0">
                  <c:v>300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GRAFICOS!$T$73:$Z$73</c15:sqref>
                  </c15:fullRef>
                </c:ext>
              </c:extLst>
              <c:f>GRAFICOS!$V$73</c:f>
              <c:numCache>
                <c:formatCode>0.00</c:formatCode>
                <c:ptCount val="1"/>
                <c:pt idx="0">
                  <c:v>1.1073679757575754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F2B-4EB1-B68C-EEC0E0651767}"/>
            </c:ext>
          </c:extLst>
        </c:ser>
        <c:ser>
          <c:idx val="10"/>
          <c:order val="10"/>
          <c:tx>
            <c:strRef>
              <c:f>GRAFICOS!$S$74</c:f>
              <c:strCache>
                <c:ptCount val="1"/>
                <c:pt idx="0">
                  <c:v>DUO ELECTRICO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GRAFICOS!$V$63</c:f>
              <c:strCache>
                <c:ptCount val="1"/>
                <c:pt idx="0">
                  <c:v>300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GRAFICOS!$T$74:$Z$74</c15:sqref>
                  </c15:fullRef>
                </c:ext>
              </c:extLst>
              <c:f>GRAFICOS!$V$74</c:f>
              <c:numCache>
                <c:formatCode>0.00</c:formatCode>
                <c:ptCount val="1"/>
                <c:pt idx="0">
                  <c:v>0.94708979393939396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F2B-4EB1-B68C-EEC0E0651767}"/>
            </c:ext>
          </c:extLst>
        </c:ser>
        <c:ser>
          <c:idx val="11"/>
          <c:order val="11"/>
          <c:tx>
            <c:strRef>
              <c:f>GRAFICOS!$S$75</c:f>
              <c:strCache>
                <c:ptCount val="1"/>
                <c:pt idx="0">
                  <c:v>SECTOR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GRAFICOS!$V$63</c:f>
              <c:strCache>
                <c:ptCount val="1"/>
                <c:pt idx="0">
                  <c:v>300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GRAFICOS!$T$75:$Z$75</c15:sqref>
                  </c15:fullRef>
                </c:ext>
              </c:extLst>
              <c:f>GRAFICOS!$V$75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F2B-4EB1-B68C-EEC0E06517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33041120"/>
        <c:axId val="433041536"/>
      </c:barChart>
      <c:catAx>
        <c:axId val="43304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41536"/>
        <c:crosses val="autoZero"/>
        <c:auto val="1"/>
        <c:lblAlgn val="ctr"/>
        <c:lblOffset val="100"/>
        <c:noMultiLvlLbl val="0"/>
      </c:catAx>
      <c:valAx>
        <c:axId val="43304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4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COSTE COMPARADO POR TIPO DE VEHÍCULO 400 KMS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GRAFICOS!$S$64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GRAFICOS!$W$63</c:f>
              <c:strCache>
                <c:ptCount val="1"/>
                <c:pt idx="0">
                  <c:v>400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GRAFICOS!$T$64:$Z$64</c15:sqref>
                  </c15:fullRef>
                </c:ext>
              </c:extLst>
              <c:f>GRAFICOS!$W$64</c:f>
              <c:numCache>
                <c:formatCode>0.00</c:formatCode>
                <c:ptCount val="1"/>
                <c:pt idx="0">
                  <c:v>1.0252347272727274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6-42F6-99EF-5087904EB944}"/>
            </c:ext>
          </c:extLst>
        </c:ser>
        <c:ser>
          <c:idx val="1"/>
          <c:order val="1"/>
          <c:tx>
            <c:strRef>
              <c:f>GRAFICOS!$S$65</c:f>
              <c:strCache>
                <c:ptCount val="1"/>
                <c:pt idx="0">
                  <c:v>GAS NATURAL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GRAFICOS!$W$63</c:f>
              <c:strCache>
                <c:ptCount val="1"/>
                <c:pt idx="0">
                  <c:v>400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GRAFICOS!$T$65:$Z$65</c15:sqref>
                  </c15:fullRef>
                </c:ext>
              </c:extLst>
              <c:f>GRAFICOS!$W$65</c:f>
              <c:numCache>
                <c:formatCode>0.00</c:formatCode>
                <c:ptCount val="1"/>
                <c:pt idx="0">
                  <c:v>1.0336766909090909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E6-42F6-99EF-5087904EB944}"/>
            </c:ext>
          </c:extLst>
        </c:ser>
        <c:ser>
          <c:idx val="2"/>
          <c:order val="2"/>
          <c:tx>
            <c:strRef>
              <c:f>GRAFICOS!$S$66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GRAFICOS!$W$63</c:f>
              <c:strCache>
                <c:ptCount val="1"/>
                <c:pt idx="0">
                  <c:v>400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GRAFICOS!$T$66:$Z$66</c15:sqref>
                  </c15:fullRef>
                </c:ext>
              </c:extLst>
              <c:f>GRAFICOS!$W$66</c:f>
              <c:numCache>
                <c:formatCode>0.00</c:formatCode>
                <c:ptCount val="1"/>
                <c:pt idx="0">
                  <c:v>1.3435588727272729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E6-42F6-99EF-5087904EB944}"/>
            </c:ext>
          </c:extLst>
        </c:ser>
        <c:ser>
          <c:idx val="3"/>
          <c:order val="3"/>
          <c:tx>
            <c:strRef>
              <c:f>GRAFICOS!$S$67</c:f>
              <c:strCache>
                <c:ptCount val="1"/>
                <c:pt idx="0">
                  <c:v>BIOMETANO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GRAFICOS!$W$63</c:f>
              <c:strCache>
                <c:ptCount val="1"/>
                <c:pt idx="0">
                  <c:v>400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GRAFICOS!$T$67:$Z$67</c15:sqref>
                  </c15:fullRef>
                </c:ext>
              </c:extLst>
              <c:f>GRAFICOS!$W$67</c:f>
              <c:numCache>
                <c:formatCode>0.00</c:formatCode>
                <c:ptCount val="1"/>
                <c:pt idx="0">
                  <c:v>1.157228690909091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E6-42F6-99EF-5087904EB944}"/>
            </c:ext>
          </c:extLst>
        </c:ser>
        <c:ser>
          <c:idx val="4"/>
          <c:order val="4"/>
          <c:tx>
            <c:strRef>
              <c:f>GRAFICOS!$S$68</c:f>
              <c:strCache>
                <c:ptCount val="1"/>
                <c:pt idx="0">
                  <c:v>ELECTRICO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GRAFICOS!$W$63</c:f>
              <c:strCache>
                <c:ptCount val="1"/>
                <c:pt idx="0">
                  <c:v>400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GRAFICOS!$T$68:$Z$68</c15:sqref>
                  </c15:fullRef>
                </c:ext>
              </c:extLst>
              <c:f>GRAFICOS!$W$68</c:f>
              <c:numCache>
                <c:formatCode>0.00</c:formatCode>
                <c:ptCount val="1"/>
                <c:pt idx="0">
                  <c:v>1.2676861454545454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E6-42F6-99EF-5087904EB944}"/>
            </c:ext>
          </c:extLst>
        </c:ser>
        <c:ser>
          <c:idx val="5"/>
          <c:order val="5"/>
          <c:tx>
            <c:strRef>
              <c:f>GRAFICOS!$S$69</c:f>
              <c:strCache>
                <c:ptCount val="1"/>
                <c:pt idx="0">
                  <c:v>HVO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GRAFICOS!$W$63</c:f>
              <c:strCache>
                <c:ptCount val="1"/>
                <c:pt idx="0">
                  <c:v>400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GRAFICOS!$T$69:$Z$69</c15:sqref>
                  </c15:fullRef>
                </c:ext>
              </c:extLst>
              <c:f>GRAFICOS!$W$69</c:f>
              <c:numCache>
                <c:formatCode>0.00</c:formatCode>
                <c:ptCount val="1"/>
                <c:pt idx="0">
                  <c:v>1.3855947272727274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E6-42F6-99EF-5087904EB944}"/>
            </c:ext>
          </c:extLst>
        </c:ser>
        <c:ser>
          <c:idx val="6"/>
          <c:order val="6"/>
          <c:tx>
            <c:strRef>
              <c:f>GRAFICOS!$S$70</c:f>
              <c:strCache>
                <c:ptCount val="1"/>
                <c:pt idx="0">
                  <c:v>DUO H2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GRAFICOS!$W$63</c:f>
              <c:strCache>
                <c:ptCount val="1"/>
                <c:pt idx="0">
                  <c:v>400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GRAFICOS!$T$70:$Z$70</c15:sqref>
                  </c15:fullRef>
                </c:ext>
              </c:extLst>
              <c:f>GRAFICOS!$W$70</c:f>
              <c:numCache>
                <c:formatCode>0.00</c:formatCode>
                <c:ptCount val="1"/>
                <c:pt idx="0">
                  <c:v>0.81344634545454553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E6-42F6-99EF-5087904EB944}"/>
            </c:ext>
          </c:extLst>
        </c:ser>
        <c:ser>
          <c:idx val="7"/>
          <c:order val="7"/>
          <c:tx>
            <c:strRef>
              <c:f>GRAFICOS!$S$71</c:f>
              <c:strCache>
                <c:ptCount val="1"/>
                <c:pt idx="0">
                  <c:v>DUO GASOIL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GRAFICOS!$W$63</c:f>
              <c:strCache>
                <c:ptCount val="1"/>
                <c:pt idx="0">
                  <c:v>400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GRAFICOS!$T$71:$Z$71</c15:sqref>
                  </c15:fullRef>
                </c:ext>
              </c:extLst>
              <c:f>GRAFICOS!$W$71</c:f>
              <c:numCache>
                <c:formatCode>0.00</c:formatCode>
                <c:ptCount val="1"/>
                <c:pt idx="0">
                  <c:v>0.69823798181818175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E6-42F6-99EF-5087904EB944}"/>
            </c:ext>
          </c:extLst>
        </c:ser>
        <c:ser>
          <c:idx val="8"/>
          <c:order val="8"/>
          <c:tx>
            <c:strRef>
              <c:f>GRAFICOS!$S$72</c:f>
              <c:strCache>
                <c:ptCount val="1"/>
                <c:pt idx="0">
                  <c:v>DUO BIOMETANO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GRAFICOS!$W$63</c:f>
              <c:strCache>
                <c:ptCount val="1"/>
                <c:pt idx="0">
                  <c:v>400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GRAFICOS!$T$72:$Z$72</c15:sqref>
                  </c15:fullRef>
                </c:ext>
              </c:extLst>
              <c:f>GRAFICOS!$W$72</c:f>
              <c:numCache>
                <c:formatCode>0.00</c:formatCode>
                <c:ptCount val="1"/>
                <c:pt idx="0">
                  <c:v>0.7231970363636363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E6-42F6-99EF-5087904EB944}"/>
            </c:ext>
          </c:extLst>
        </c:ser>
        <c:ser>
          <c:idx val="9"/>
          <c:order val="9"/>
          <c:tx>
            <c:strRef>
              <c:f>GRAFICOS!$S$73</c:f>
              <c:strCache>
                <c:ptCount val="1"/>
                <c:pt idx="0">
                  <c:v>DUO HVO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GRAFICOS!$W$63</c:f>
              <c:strCache>
                <c:ptCount val="1"/>
                <c:pt idx="0">
                  <c:v>400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GRAFICOS!$T$73:$Z$73</c15:sqref>
                  </c15:fullRef>
                </c:ext>
              </c:extLst>
              <c:f>GRAFICOS!$W$73</c:f>
              <c:numCache>
                <c:formatCode>0.00</c:formatCode>
                <c:ptCount val="1"/>
                <c:pt idx="0">
                  <c:v>0.95048998181818189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E6-42F6-99EF-5087904EB944}"/>
            </c:ext>
          </c:extLst>
        </c:ser>
        <c:ser>
          <c:idx val="10"/>
          <c:order val="10"/>
          <c:tx>
            <c:strRef>
              <c:f>GRAFICOS!$S$74</c:f>
              <c:strCache>
                <c:ptCount val="1"/>
                <c:pt idx="0">
                  <c:v>DUO ELECTRICO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GRAFICOS!$W$63</c:f>
              <c:strCache>
                <c:ptCount val="1"/>
                <c:pt idx="0">
                  <c:v>400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GRAFICOS!$T$74:$Z$74</c15:sqref>
                  </c15:fullRef>
                </c:ext>
              </c:extLst>
              <c:f>GRAFICOS!$W$74</c:f>
              <c:numCache>
                <c:formatCode>0.00</c:formatCode>
                <c:ptCount val="1"/>
                <c:pt idx="0">
                  <c:v>0.76066634545454537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E6-42F6-99EF-5087904EB944}"/>
            </c:ext>
          </c:extLst>
        </c:ser>
        <c:ser>
          <c:idx val="11"/>
          <c:order val="11"/>
          <c:tx>
            <c:strRef>
              <c:f>GRAFICOS!$S$75</c:f>
              <c:strCache>
                <c:ptCount val="1"/>
                <c:pt idx="0">
                  <c:v>SECTOR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GRAFICOS!$W$63</c:f>
              <c:strCache>
                <c:ptCount val="1"/>
                <c:pt idx="0">
                  <c:v>400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GRAFICOS!$T$75:$Z$75</c15:sqref>
                  </c15:fullRef>
                </c:ext>
              </c:extLst>
              <c:f>GRAFICOS!$W$75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E6-42F6-99EF-5087904EB9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33041120"/>
        <c:axId val="433041536"/>
      </c:barChart>
      <c:catAx>
        <c:axId val="43304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41536"/>
        <c:crosses val="autoZero"/>
        <c:auto val="1"/>
        <c:lblAlgn val="ctr"/>
        <c:lblOffset val="100"/>
        <c:noMultiLvlLbl val="0"/>
      </c:catAx>
      <c:valAx>
        <c:axId val="43304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4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COSTE COMPARADO POR TIPO DE VEHÍCULO 500 KMS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GRAFICOS!$S$64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GRAFICOS!$X$63</c:f>
              <c:strCache>
                <c:ptCount val="1"/>
                <c:pt idx="0">
                  <c:v>500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GRAFICOS!$T$64:$Z$64</c15:sqref>
                  </c15:fullRef>
                </c:ext>
              </c:extLst>
              <c:f>GRAFICOS!$X$64</c:f>
              <c:numCache>
                <c:formatCode>0.00</c:formatCode>
                <c:ptCount val="1"/>
                <c:pt idx="0">
                  <c:v>0.88339898181818188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A-4C08-A92C-D973ADFBC828}"/>
            </c:ext>
          </c:extLst>
        </c:ser>
        <c:ser>
          <c:idx val="1"/>
          <c:order val="1"/>
          <c:tx>
            <c:strRef>
              <c:f>GRAFICOS!$S$65</c:f>
              <c:strCache>
                <c:ptCount val="1"/>
                <c:pt idx="0">
                  <c:v>GAS NATURAL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GRAFICOS!$X$63</c:f>
              <c:strCache>
                <c:ptCount val="1"/>
                <c:pt idx="0">
                  <c:v>500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GRAFICOS!$T$65:$Z$65</c15:sqref>
                  </c15:fullRef>
                </c:ext>
              </c:extLst>
              <c:f>GRAFICOS!$X$65</c:f>
              <c:numCache>
                <c:formatCode>0.00</c:formatCode>
                <c:ptCount val="1"/>
                <c:pt idx="0">
                  <c:v>0.86404855272727288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0A-4C08-A92C-D973ADFBC828}"/>
            </c:ext>
          </c:extLst>
        </c:ser>
        <c:ser>
          <c:idx val="2"/>
          <c:order val="2"/>
          <c:tx>
            <c:strRef>
              <c:f>GRAFICOS!$S$66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GRAFICOS!$X$63</c:f>
              <c:strCache>
                <c:ptCount val="1"/>
                <c:pt idx="0">
                  <c:v>500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GRAFICOS!$T$66:$Z$66</c15:sqref>
                  </c15:fullRef>
                </c:ext>
              </c:extLst>
              <c:f>GRAFICOS!$X$66</c:f>
              <c:numCache>
                <c:formatCode>0.00</c:formatCode>
                <c:ptCount val="1"/>
                <c:pt idx="0">
                  <c:v>1.1455670981818182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0A-4C08-A92C-D973ADFBC828}"/>
            </c:ext>
          </c:extLst>
        </c:ser>
        <c:ser>
          <c:idx val="3"/>
          <c:order val="3"/>
          <c:tx>
            <c:strRef>
              <c:f>GRAFICOS!$S$67</c:f>
              <c:strCache>
                <c:ptCount val="1"/>
                <c:pt idx="0">
                  <c:v>BIOMETANO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GRAFICOS!$X$63</c:f>
              <c:strCache>
                <c:ptCount val="1"/>
                <c:pt idx="0">
                  <c:v>500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GRAFICOS!$T$67:$Z$67</c15:sqref>
                  </c15:fullRef>
                </c:ext>
              </c:extLst>
              <c:f>GRAFICOS!$X$67</c:f>
              <c:numCache>
                <c:formatCode>0.00</c:formatCode>
                <c:ptCount val="1"/>
                <c:pt idx="0">
                  <c:v>0.98760055272727276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0A-4C08-A92C-D973ADFBC828}"/>
            </c:ext>
          </c:extLst>
        </c:ser>
        <c:ser>
          <c:idx val="4"/>
          <c:order val="4"/>
          <c:tx>
            <c:strRef>
              <c:f>GRAFICOS!$S$68</c:f>
              <c:strCache>
                <c:ptCount val="1"/>
                <c:pt idx="0">
                  <c:v>ELECTRICO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GRAFICOS!$X$63</c:f>
              <c:strCache>
                <c:ptCount val="1"/>
                <c:pt idx="0">
                  <c:v>500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GRAFICOS!$T$68:$Z$68</c15:sqref>
                  </c15:fullRef>
                </c:ext>
              </c:extLst>
              <c:f>GRAFICOS!$X$68</c:f>
              <c:numCache>
                <c:formatCode>0.00</c:formatCode>
                <c:ptCount val="1"/>
                <c:pt idx="0">
                  <c:v>1.0697889163636363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0A-4C08-A92C-D973ADFBC828}"/>
            </c:ext>
          </c:extLst>
        </c:ser>
        <c:ser>
          <c:idx val="5"/>
          <c:order val="5"/>
          <c:tx>
            <c:strRef>
              <c:f>GRAFICOS!$S$69</c:f>
              <c:strCache>
                <c:ptCount val="1"/>
                <c:pt idx="0">
                  <c:v>HVO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GRAFICOS!$X$63</c:f>
              <c:strCache>
                <c:ptCount val="1"/>
                <c:pt idx="0">
                  <c:v>500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GRAFICOS!$T$69:$Z$69</c15:sqref>
                  </c15:fullRef>
                </c:ext>
              </c:extLst>
              <c:f>GRAFICOS!$X$69</c:f>
              <c:numCache>
                <c:formatCode>0.00</c:formatCode>
                <c:ptCount val="1"/>
                <c:pt idx="0">
                  <c:v>1.2437589818181816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0A-4C08-A92C-D973ADFBC828}"/>
            </c:ext>
          </c:extLst>
        </c:ser>
        <c:ser>
          <c:idx val="6"/>
          <c:order val="6"/>
          <c:tx>
            <c:strRef>
              <c:f>GRAFICOS!$S$70</c:f>
              <c:strCache>
                <c:ptCount val="1"/>
                <c:pt idx="0">
                  <c:v>DUO H2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GRAFICOS!$X$63</c:f>
              <c:strCache>
                <c:ptCount val="1"/>
                <c:pt idx="0">
                  <c:v>500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GRAFICOS!$T$70:$Z$70</c15:sqref>
                  </c15:fullRef>
                </c:ext>
              </c:extLst>
              <c:f>GRAFICOS!$X$70</c:f>
              <c:numCache>
                <c:formatCode>0.00</c:formatCode>
                <c:ptCount val="1"/>
                <c:pt idx="0">
                  <c:v>0.7015922763636363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0A-4C08-A92C-D973ADFBC828}"/>
            </c:ext>
          </c:extLst>
        </c:ser>
        <c:ser>
          <c:idx val="7"/>
          <c:order val="7"/>
          <c:tx>
            <c:strRef>
              <c:f>GRAFICOS!$S$71</c:f>
              <c:strCache>
                <c:ptCount val="1"/>
                <c:pt idx="0">
                  <c:v>DUO GASOIL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GRAFICOS!$X$63</c:f>
              <c:strCache>
                <c:ptCount val="1"/>
                <c:pt idx="0">
                  <c:v>500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GRAFICOS!$T$71:$Z$71</c15:sqref>
                  </c15:fullRef>
                </c:ext>
              </c:extLst>
              <c:f>GRAFICOS!$X$71</c:f>
              <c:numCache>
                <c:formatCode>0.00</c:formatCode>
                <c:ptCount val="1"/>
                <c:pt idx="0">
                  <c:v>0.60411118545454534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0A-4C08-A92C-D973ADFBC828}"/>
            </c:ext>
          </c:extLst>
        </c:ser>
        <c:ser>
          <c:idx val="8"/>
          <c:order val="8"/>
          <c:tx>
            <c:strRef>
              <c:f>GRAFICOS!$S$72</c:f>
              <c:strCache>
                <c:ptCount val="1"/>
                <c:pt idx="0">
                  <c:v>DUO BIOMETANO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GRAFICOS!$X$63</c:f>
              <c:strCache>
                <c:ptCount val="1"/>
                <c:pt idx="0">
                  <c:v>500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GRAFICOS!$T$72:$Z$72</c15:sqref>
                  </c15:fullRef>
                </c:ext>
              </c:extLst>
              <c:f>GRAFICOS!$X$72</c:f>
              <c:numCache>
                <c:formatCode>0.00</c:formatCode>
                <c:ptCount val="1"/>
                <c:pt idx="0">
                  <c:v>0.62316114909090903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0A-4C08-A92C-D973ADFBC828}"/>
            </c:ext>
          </c:extLst>
        </c:ser>
        <c:ser>
          <c:idx val="9"/>
          <c:order val="9"/>
          <c:tx>
            <c:strRef>
              <c:f>GRAFICOS!$S$73</c:f>
              <c:strCache>
                <c:ptCount val="1"/>
                <c:pt idx="0">
                  <c:v>DUO HVO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GRAFICOS!$X$63</c:f>
              <c:strCache>
                <c:ptCount val="1"/>
                <c:pt idx="0">
                  <c:v>500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GRAFICOS!$T$73:$Z$73</c15:sqref>
                  </c15:fullRef>
                </c:ext>
              </c:extLst>
              <c:f>GRAFICOS!$X$73</c:f>
              <c:numCache>
                <c:formatCode>0.00</c:formatCode>
                <c:ptCount val="1"/>
                <c:pt idx="0">
                  <c:v>0.85636318545454526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10A-4C08-A92C-D973ADFBC828}"/>
            </c:ext>
          </c:extLst>
        </c:ser>
        <c:ser>
          <c:idx val="10"/>
          <c:order val="10"/>
          <c:tx>
            <c:strRef>
              <c:f>GRAFICOS!$S$74</c:f>
              <c:strCache>
                <c:ptCount val="1"/>
                <c:pt idx="0">
                  <c:v>DUO ELECTRICO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GRAFICOS!$X$63</c:f>
              <c:strCache>
                <c:ptCount val="1"/>
                <c:pt idx="0">
                  <c:v>500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GRAFICOS!$T$74:$Z$74</c15:sqref>
                  </c15:fullRef>
                </c:ext>
              </c:extLst>
              <c:f>GRAFICOS!$X$74</c:f>
              <c:numCache>
                <c:formatCode>0.00</c:formatCode>
                <c:ptCount val="1"/>
                <c:pt idx="0">
                  <c:v>0.64881227636363625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0A-4C08-A92C-D973ADFBC828}"/>
            </c:ext>
          </c:extLst>
        </c:ser>
        <c:ser>
          <c:idx val="11"/>
          <c:order val="11"/>
          <c:tx>
            <c:strRef>
              <c:f>GRAFICOS!$S$75</c:f>
              <c:strCache>
                <c:ptCount val="1"/>
                <c:pt idx="0">
                  <c:v>SECTOR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GRAFICOS!$X$63</c:f>
              <c:strCache>
                <c:ptCount val="1"/>
                <c:pt idx="0">
                  <c:v>500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GRAFICOS!$T$75:$Z$75</c15:sqref>
                  </c15:fullRef>
                </c:ext>
              </c:extLst>
              <c:f>GRAFICOS!$X$75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10A-4C08-A92C-D973ADFBC8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33041120"/>
        <c:axId val="433041536"/>
      </c:barChart>
      <c:catAx>
        <c:axId val="43304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41536"/>
        <c:crosses val="autoZero"/>
        <c:auto val="1"/>
        <c:lblAlgn val="ctr"/>
        <c:lblOffset val="100"/>
        <c:noMultiLvlLbl val="0"/>
      </c:catAx>
      <c:valAx>
        <c:axId val="43304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4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COSTE COMPARADO POR TIPO DE VEHÍCULO 600 KMS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GRAFICOS!$S$64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GRAFICOS!$Y$63</c:f>
              <c:strCache>
                <c:ptCount val="1"/>
                <c:pt idx="0">
                  <c:v>600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GRAFICOS!$T$64:$Z$64</c15:sqref>
                  </c15:fullRef>
                </c:ext>
              </c:extLst>
              <c:f>GRAFICOS!$Y$64</c:f>
              <c:numCache>
                <c:formatCode>0.00</c:formatCode>
                <c:ptCount val="1"/>
                <c:pt idx="0">
                  <c:v>0.7888418181818182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D-4D69-BDB1-7FD592A10F7E}"/>
            </c:ext>
          </c:extLst>
        </c:ser>
        <c:ser>
          <c:idx val="1"/>
          <c:order val="1"/>
          <c:tx>
            <c:strRef>
              <c:f>GRAFICOS!$S$65</c:f>
              <c:strCache>
                <c:ptCount val="1"/>
                <c:pt idx="0">
                  <c:v>GAS NATURAL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GRAFICOS!$Y$63</c:f>
              <c:strCache>
                <c:ptCount val="1"/>
                <c:pt idx="0">
                  <c:v>600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GRAFICOS!$T$65:$Z$65</c15:sqref>
                  </c15:fullRef>
                </c:ext>
              </c:extLst>
              <c:f>GRAFICOS!$Y$65</c:f>
              <c:numCache>
                <c:formatCode>0.00</c:formatCode>
                <c:ptCount val="1"/>
                <c:pt idx="0">
                  <c:v>0.75096312727272729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D-4D69-BDB1-7FD592A10F7E}"/>
            </c:ext>
          </c:extLst>
        </c:ser>
        <c:ser>
          <c:idx val="2"/>
          <c:order val="2"/>
          <c:tx>
            <c:strRef>
              <c:f>GRAFICOS!$S$66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GRAFICOS!$Y$63</c:f>
              <c:strCache>
                <c:ptCount val="1"/>
                <c:pt idx="0">
                  <c:v>600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GRAFICOS!$T$66:$Z$66</c15:sqref>
                  </c15:fullRef>
                </c:ext>
              </c:extLst>
              <c:f>GRAFICOS!$Y$66</c:f>
              <c:numCache>
                <c:formatCode>0.00</c:formatCode>
                <c:ptCount val="1"/>
                <c:pt idx="0">
                  <c:v>1.013572581818182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D-4D69-BDB1-7FD592A10F7E}"/>
            </c:ext>
          </c:extLst>
        </c:ser>
        <c:ser>
          <c:idx val="3"/>
          <c:order val="3"/>
          <c:tx>
            <c:strRef>
              <c:f>GRAFICOS!$S$67</c:f>
              <c:strCache>
                <c:ptCount val="1"/>
                <c:pt idx="0">
                  <c:v>BIOMETANO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GRAFICOS!$Y$63</c:f>
              <c:strCache>
                <c:ptCount val="1"/>
                <c:pt idx="0">
                  <c:v>600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GRAFICOS!$T$67:$Z$67</c15:sqref>
                  </c15:fullRef>
                </c:ext>
              </c:extLst>
              <c:f>GRAFICOS!$Y$67</c:f>
              <c:numCache>
                <c:formatCode>0.00</c:formatCode>
                <c:ptCount val="1"/>
                <c:pt idx="0">
                  <c:v>0.87451512727272729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DD-4D69-BDB1-7FD592A10F7E}"/>
            </c:ext>
          </c:extLst>
        </c:ser>
        <c:ser>
          <c:idx val="4"/>
          <c:order val="4"/>
          <c:tx>
            <c:strRef>
              <c:f>GRAFICOS!$S$68</c:f>
              <c:strCache>
                <c:ptCount val="1"/>
                <c:pt idx="0">
                  <c:v>ELECTRICO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GRAFICOS!$Y$63</c:f>
              <c:strCache>
                <c:ptCount val="1"/>
                <c:pt idx="0">
                  <c:v>600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GRAFICOS!$T$68:$Z$68</c15:sqref>
                  </c15:fullRef>
                </c:ext>
              </c:extLst>
              <c:f>GRAFICOS!$Y$68</c:f>
              <c:numCache>
                <c:formatCode>0.00</c:formatCode>
                <c:ptCount val="1"/>
                <c:pt idx="0">
                  <c:v>0.93785743030303037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DD-4D69-BDB1-7FD592A10F7E}"/>
            </c:ext>
          </c:extLst>
        </c:ser>
        <c:ser>
          <c:idx val="5"/>
          <c:order val="5"/>
          <c:tx>
            <c:strRef>
              <c:f>GRAFICOS!$S$69</c:f>
              <c:strCache>
                <c:ptCount val="1"/>
                <c:pt idx="0">
                  <c:v>HVO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GRAFICOS!$Y$63</c:f>
              <c:strCache>
                <c:ptCount val="1"/>
                <c:pt idx="0">
                  <c:v>600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GRAFICOS!$T$69:$Z$69</c15:sqref>
                  </c15:fullRef>
                </c:ext>
              </c:extLst>
              <c:f>GRAFICOS!$Y$69</c:f>
              <c:numCache>
                <c:formatCode>0.00</c:formatCode>
                <c:ptCount val="1"/>
                <c:pt idx="0">
                  <c:v>1.149201818181818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DD-4D69-BDB1-7FD592A10F7E}"/>
            </c:ext>
          </c:extLst>
        </c:ser>
        <c:ser>
          <c:idx val="6"/>
          <c:order val="6"/>
          <c:tx>
            <c:strRef>
              <c:f>GRAFICOS!$S$70</c:f>
              <c:strCache>
                <c:ptCount val="1"/>
                <c:pt idx="0">
                  <c:v>DUO H2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GRAFICOS!$Y$63</c:f>
              <c:strCache>
                <c:ptCount val="1"/>
                <c:pt idx="0">
                  <c:v>600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GRAFICOS!$T$70:$Z$70</c15:sqref>
                  </c15:fullRef>
                </c:ext>
              </c:extLst>
              <c:f>GRAFICOS!$Y$70</c:f>
              <c:numCache>
                <c:formatCode>0.00</c:formatCode>
                <c:ptCount val="1"/>
                <c:pt idx="0">
                  <c:v>0.62702289696969682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DD-4D69-BDB1-7FD592A10F7E}"/>
            </c:ext>
          </c:extLst>
        </c:ser>
        <c:ser>
          <c:idx val="7"/>
          <c:order val="7"/>
          <c:tx>
            <c:strRef>
              <c:f>GRAFICOS!$S$71</c:f>
              <c:strCache>
                <c:ptCount val="1"/>
                <c:pt idx="0">
                  <c:v>DUO GASOIL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GRAFICOS!$Y$63</c:f>
              <c:strCache>
                <c:ptCount val="1"/>
                <c:pt idx="0">
                  <c:v>600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GRAFICOS!$T$71:$Z$71</c15:sqref>
                  </c15:fullRef>
                </c:ext>
              </c:extLst>
              <c:f>GRAFICOS!$Y$71</c:f>
              <c:numCache>
                <c:formatCode>0.00</c:formatCode>
                <c:ptCount val="1"/>
                <c:pt idx="0">
                  <c:v>0.54135998787878781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2DD-4D69-BDB1-7FD592A10F7E}"/>
            </c:ext>
          </c:extLst>
        </c:ser>
        <c:ser>
          <c:idx val="8"/>
          <c:order val="8"/>
          <c:tx>
            <c:strRef>
              <c:f>GRAFICOS!$S$72</c:f>
              <c:strCache>
                <c:ptCount val="1"/>
                <c:pt idx="0">
                  <c:v>DUO BIOMETANO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GRAFICOS!$Y$63</c:f>
              <c:strCache>
                <c:ptCount val="1"/>
                <c:pt idx="0">
                  <c:v>600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GRAFICOS!$T$72:$Z$72</c15:sqref>
                  </c15:fullRef>
                </c:ext>
              </c:extLst>
              <c:f>GRAFICOS!$Y$72</c:f>
              <c:numCache>
                <c:formatCode>0.00</c:formatCode>
                <c:ptCount val="1"/>
                <c:pt idx="0">
                  <c:v>0.55647055757575747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DD-4D69-BDB1-7FD592A10F7E}"/>
            </c:ext>
          </c:extLst>
        </c:ser>
        <c:ser>
          <c:idx val="9"/>
          <c:order val="9"/>
          <c:tx>
            <c:strRef>
              <c:f>GRAFICOS!$S$73</c:f>
              <c:strCache>
                <c:ptCount val="1"/>
                <c:pt idx="0">
                  <c:v>DUO HVO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GRAFICOS!$Y$63</c:f>
              <c:strCache>
                <c:ptCount val="1"/>
                <c:pt idx="0">
                  <c:v>600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GRAFICOS!$T$73:$Z$73</c15:sqref>
                  </c15:fullRef>
                </c:ext>
              </c:extLst>
              <c:f>GRAFICOS!$Y$73</c:f>
              <c:numCache>
                <c:formatCode>0.00</c:formatCode>
                <c:ptCount val="1"/>
                <c:pt idx="0">
                  <c:v>0.79361198787878773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2DD-4D69-BDB1-7FD592A10F7E}"/>
            </c:ext>
          </c:extLst>
        </c:ser>
        <c:ser>
          <c:idx val="10"/>
          <c:order val="10"/>
          <c:tx>
            <c:strRef>
              <c:f>GRAFICOS!$S$74</c:f>
              <c:strCache>
                <c:ptCount val="1"/>
                <c:pt idx="0">
                  <c:v>DUO ELECTRICO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GRAFICOS!$Y$63</c:f>
              <c:strCache>
                <c:ptCount val="1"/>
                <c:pt idx="0">
                  <c:v>600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GRAFICOS!$T$74:$Z$74</c15:sqref>
                  </c15:fullRef>
                </c:ext>
              </c:extLst>
              <c:f>GRAFICOS!$Y$74</c:f>
              <c:numCache>
                <c:formatCode>0.00</c:formatCode>
                <c:ptCount val="1"/>
                <c:pt idx="0">
                  <c:v>0.57424289696969688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2DD-4D69-BDB1-7FD592A10F7E}"/>
            </c:ext>
          </c:extLst>
        </c:ser>
        <c:ser>
          <c:idx val="11"/>
          <c:order val="11"/>
          <c:tx>
            <c:strRef>
              <c:f>GRAFICOS!$S$75</c:f>
              <c:strCache>
                <c:ptCount val="1"/>
                <c:pt idx="0">
                  <c:v>SECTOR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GRAFICOS!$Y$63</c:f>
              <c:strCache>
                <c:ptCount val="1"/>
                <c:pt idx="0">
                  <c:v>600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GRAFICOS!$T$75:$Z$75</c15:sqref>
                  </c15:fullRef>
                </c:ext>
              </c:extLst>
              <c:f>GRAFICOS!$Y$75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2DD-4D69-BDB1-7FD592A10F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33041120"/>
        <c:axId val="433041536"/>
      </c:barChart>
      <c:catAx>
        <c:axId val="43304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41536"/>
        <c:crosses val="autoZero"/>
        <c:auto val="1"/>
        <c:lblAlgn val="ctr"/>
        <c:lblOffset val="100"/>
        <c:noMultiLvlLbl val="0"/>
      </c:catAx>
      <c:valAx>
        <c:axId val="43304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4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COSTE COMPARADO POR TIPO DE VEHÍCULO 700 KMS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GRAFICOS!$S$64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GRAFICOS!$Z$63</c:f>
              <c:strCache>
                <c:ptCount val="1"/>
                <c:pt idx="0">
                  <c:v>700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GRAFICOS!$T$64:$Z$64</c15:sqref>
                  </c15:fullRef>
                </c:ext>
              </c:extLst>
              <c:f>GRAFICOS!$Z$64</c:f>
              <c:numCache>
                <c:formatCode>0.00</c:formatCode>
                <c:ptCount val="1"/>
                <c:pt idx="0">
                  <c:v>0.72130098701298695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A-49ED-A96B-6CE777D8A74D}"/>
            </c:ext>
          </c:extLst>
        </c:ser>
        <c:ser>
          <c:idx val="1"/>
          <c:order val="1"/>
          <c:tx>
            <c:strRef>
              <c:f>GRAFICOS!$S$65</c:f>
              <c:strCache>
                <c:ptCount val="1"/>
                <c:pt idx="0">
                  <c:v>GAS NATURAL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GRAFICOS!$Z$63</c:f>
              <c:strCache>
                <c:ptCount val="1"/>
                <c:pt idx="0">
                  <c:v>700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GRAFICOS!$T$65:$Z$65</c15:sqref>
                  </c15:fullRef>
                </c:ext>
              </c:extLst>
              <c:f>GRAFICOS!$Z$65</c:f>
              <c:numCache>
                <c:formatCode>0.00</c:formatCode>
                <c:ptCount val="1"/>
                <c:pt idx="0">
                  <c:v>0.67018782337662341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3A-49ED-A96B-6CE777D8A74D}"/>
            </c:ext>
          </c:extLst>
        </c:ser>
        <c:ser>
          <c:idx val="2"/>
          <c:order val="2"/>
          <c:tx>
            <c:strRef>
              <c:f>GRAFICOS!$S$66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GRAFICOS!$Z$63</c:f>
              <c:strCache>
                <c:ptCount val="1"/>
                <c:pt idx="0">
                  <c:v>700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GRAFICOS!$T$66:$Z$66</c15:sqref>
                  </c15:fullRef>
                </c:ext>
              </c:extLst>
              <c:f>GRAFICOS!$Z$66</c:f>
              <c:numCache>
                <c:formatCode>0.00</c:formatCode>
                <c:ptCount val="1"/>
                <c:pt idx="0">
                  <c:v>0.91929078441558454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3A-49ED-A96B-6CE777D8A74D}"/>
            </c:ext>
          </c:extLst>
        </c:ser>
        <c:ser>
          <c:idx val="3"/>
          <c:order val="3"/>
          <c:tx>
            <c:strRef>
              <c:f>GRAFICOS!$S$67</c:f>
              <c:strCache>
                <c:ptCount val="1"/>
                <c:pt idx="0">
                  <c:v>BIOMETANO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GRAFICOS!$Z$63</c:f>
              <c:strCache>
                <c:ptCount val="1"/>
                <c:pt idx="0">
                  <c:v>700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GRAFICOS!$T$67:$Z$67</c15:sqref>
                  </c15:fullRef>
                </c:ext>
              </c:extLst>
              <c:f>GRAFICOS!$Z$67</c:f>
              <c:numCache>
                <c:formatCode>0.00</c:formatCode>
                <c:ptCount val="1"/>
                <c:pt idx="0">
                  <c:v>0.79373982337662341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3A-49ED-A96B-6CE777D8A74D}"/>
            </c:ext>
          </c:extLst>
        </c:ser>
        <c:ser>
          <c:idx val="4"/>
          <c:order val="4"/>
          <c:tx>
            <c:strRef>
              <c:f>GRAFICOS!$S$68</c:f>
              <c:strCache>
                <c:ptCount val="1"/>
                <c:pt idx="0">
                  <c:v>ELECTRICO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GRAFICOS!$Z$63</c:f>
              <c:strCache>
                <c:ptCount val="1"/>
                <c:pt idx="0">
                  <c:v>700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GRAFICOS!$T$68:$Z$68</c15:sqref>
                  </c15:fullRef>
                </c:ext>
              </c:extLst>
              <c:f>GRAFICOS!$Z$68</c:f>
              <c:numCache>
                <c:formatCode>0.00</c:formatCode>
                <c:ptCount val="1"/>
                <c:pt idx="0">
                  <c:v>0.84362065454545454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3A-49ED-A96B-6CE777D8A74D}"/>
            </c:ext>
          </c:extLst>
        </c:ser>
        <c:ser>
          <c:idx val="5"/>
          <c:order val="5"/>
          <c:tx>
            <c:strRef>
              <c:f>GRAFICOS!$S$69</c:f>
              <c:strCache>
                <c:ptCount val="1"/>
                <c:pt idx="0">
                  <c:v>HVO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GRAFICOS!$Z$63</c:f>
              <c:strCache>
                <c:ptCount val="1"/>
                <c:pt idx="0">
                  <c:v>700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GRAFICOS!$T$69:$Z$69</c15:sqref>
                  </c15:fullRef>
                </c:ext>
              </c:extLst>
              <c:f>GRAFICOS!$Z$69</c:f>
              <c:numCache>
                <c:formatCode>0.00</c:formatCode>
                <c:ptCount val="1"/>
                <c:pt idx="0">
                  <c:v>1.081660987012987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3A-49ED-A96B-6CE777D8A74D}"/>
            </c:ext>
          </c:extLst>
        </c:ser>
        <c:ser>
          <c:idx val="6"/>
          <c:order val="6"/>
          <c:tx>
            <c:strRef>
              <c:f>GRAFICOS!$S$70</c:f>
              <c:strCache>
                <c:ptCount val="1"/>
                <c:pt idx="0">
                  <c:v>DUO H2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GRAFICOS!$Z$63</c:f>
              <c:strCache>
                <c:ptCount val="1"/>
                <c:pt idx="0">
                  <c:v>700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GRAFICOS!$T$70:$Z$70</c15:sqref>
                  </c15:fullRef>
                </c:ext>
              </c:extLst>
              <c:f>GRAFICOS!$Z$70</c:f>
              <c:numCache>
                <c:formatCode>0.00</c:formatCode>
                <c:ptCount val="1"/>
                <c:pt idx="0">
                  <c:v>0.57375905454545439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3A-49ED-A96B-6CE777D8A74D}"/>
            </c:ext>
          </c:extLst>
        </c:ser>
        <c:ser>
          <c:idx val="7"/>
          <c:order val="7"/>
          <c:tx>
            <c:strRef>
              <c:f>GRAFICOS!$S$71</c:f>
              <c:strCache>
                <c:ptCount val="1"/>
                <c:pt idx="0">
                  <c:v>DUO GASOIL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GRAFICOS!$Z$63</c:f>
              <c:strCache>
                <c:ptCount val="1"/>
                <c:pt idx="0">
                  <c:v>700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GRAFICOS!$T$71:$Z$71</c15:sqref>
                  </c15:fullRef>
                </c:ext>
              </c:extLst>
              <c:f>GRAFICOS!$Z$71</c:f>
              <c:numCache>
                <c:formatCode>0.00</c:formatCode>
                <c:ptCount val="1"/>
                <c:pt idx="0">
                  <c:v>0.49653770389610391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3A-49ED-A96B-6CE777D8A74D}"/>
            </c:ext>
          </c:extLst>
        </c:ser>
        <c:ser>
          <c:idx val="8"/>
          <c:order val="8"/>
          <c:tx>
            <c:strRef>
              <c:f>GRAFICOS!$S$72</c:f>
              <c:strCache>
                <c:ptCount val="1"/>
                <c:pt idx="0">
                  <c:v>DUO BIOMETANO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GRAFICOS!$Z$63</c:f>
              <c:strCache>
                <c:ptCount val="1"/>
                <c:pt idx="0">
                  <c:v>700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GRAFICOS!$T$72:$Z$72</c15:sqref>
                  </c15:fullRef>
                </c:ext>
              </c:extLst>
              <c:f>GRAFICOS!$Z$72</c:f>
              <c:numCache>
                <c:formatCode>0.00</c:formatCode>
                <c:ptCount val="1"/>
                <c:pt idx="0">
                  <c:v>0.50883442077922081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3A-49ED-A96B-6CE777D8A74D}"/>
            </c:ext>
          </c:extLst>
        </c:ser>
        <c:ser>
          <c:idx val="9"/>
          <c:order val="9"/>
          <c:tx>
            <c:strRef>
              <c:f>GRAFICOS!$S$73</c:f>
              <c:strCache>
                <c:ptCount val="1"/>
                <c:pt idx="0">
                  <c:v>DUO HVO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GRAFICOS!$Z$63</c:f>
              <c:strCache>
                <c:ptCount val="1"/>
                <c:pt idx="0">
                  <c:v>700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GRAFICOS!$T$73:$Z$73</c15:sqref>
                  </c15:fullRef>
                </c:ext>
              </c:extLst>
              <c:f>GRAFICOS!$Z$73</c:f>
              <c:numCache>
                <c:formatCode>0.00</c:formatCode>
                <c:ptCount val="1"/>
                <c:pt idx="0">
                  <c:v>0.748789703896104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A3A-49ED-A96B-6CE777D8A74D}"/>
            </c:ext>
          </c:extLst>
        </c:ser>
        <c:ser>
          <c:idx val="10"/>
          <c:order val="10"/>
          <c:tx>
            <c:strRef>
              <c:f>GRAFICOS!$S$74</c:f>
              <c:strCache>
                <c:ptCount val="1"/>
                <c:pt idx="0">
                  <c:v>DUO ELECTRICO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GRAFICOS!$Z$63</c:f>
              <c:strCache>
                <c:ptCount val="1"/>
                <c:pt idx="0">
                  <c:v>700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GRAFICOS!$T$74:$Z$74</c15:sqref>
                  </c15:fullRef>
                </c:ext>
              </c:extLst>
              <c:f>GRAFICOS!$Z$74</c:f>
              <c:numCache>
                <c:formatCode>0.00</c:formatCode>
                <c:ptCount val="1"/>
                <c:pt idx="0">
                  <c:v>0.52097905454545446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A3A-49ED-A96B-6CE777D8A74D}"/>
            </c:ext>
          </c:extLst>
        </c:ser>
        <c:ser>
          <c:idx val="11"/>
          <c:order val="11"/>
          <c:tx>
            <c:strRef>
              <c:f>GRAFICOS!$S$75</c:f>
              <c:strCache>
                <c:ptCount val="1"/>
                <c:pt idx="0">
                  <c:v>SECTOR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GRAFICOS!$T$63:$Z$63</c15:sqref>
                  </c15:fullRef>
                </c:ext>
              </c:extLst>
              <c:f>GRAFICOS!$Z$63</c:f>
              <c:strCache>
                <c:ptCount val="1"/>
                <c:pt idx="0">
                  <c:v>700 KMS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GRAFICOS!$T$75:$Z$75</c15:sqref>
                  </c15:fullRef>
                </c:ext>
              </c:extLst>
              <c:f>GRAFICOS!$Z$75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A3A-49ED-A96B-6CE777D8A7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33041120"/>
        <c:axId val="433041536"/>
      </c:barChart>
      <c:catAx>
        <c:axId val="43304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41536"/>
        <c:crosses val="autoZero"/>
        <c:auto val="1"/>
        <c:lblAlgn val="ctr"/>
        <c:lblOffset val="100"/>
        <c:noMultiLvlLbl val="0"/>
      </c:catAx>
      <c:valAx>
        <c:axId val="43304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4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18" Type="http://schemas.openxmlformats.org/officeDocument/2006/relationships/chart" Target="../charts/chart20.xml"/><Relationship Id="rId26" Type="http://schemas.openxmlformats.org/officeDocument/2006/relationships/chart" Target="../charts/chart28.xml"/><Relationship Id="rId3" Type="http://schemas.openxmlformats.org/officeDocument/2006/relationships/chart" Target="../charts/chart5.xml"/><Relationship Id="rId21" Type="http://schemas.openxmlformats.org/officeDocument/2006/relationships/chart" Target="../charts/chart23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5" Type="http://schemas.openxmlformats.org/officeDocument/2006/relationships/chart" Target="../charts/chart27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20" Type="http://schemas.openxmlformats.org/officeDocument/2006/relationships/chart" Target="../charts/chart22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24" Type="http://schemas.openxmlformats.org/officeDocument/2006/relationships/chart" Target="../charts/chart26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23" Type="http://schemas.openxmlformats.org/officeDocument/2006/relationships/chart" Target="../charts/chart25.xml"/><Relationship Id="rId10" Type="http://schemas.openxmlformats.org/officeDocument/2006/relationships/chart" Target="../charts/chart12.xml"/><Relationship Id="rId19" Type="http://schemas.openxmlformats.org/officeDocument/2006/relationships/chart" Target="../charts/chart21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Relationship Id="rId22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514350</xdr:colOff>
      <xdr:row>12</xdr:row>
      <xdr:rowOff>66676</xdr:rowOff>
    </xdr:from>
    <xdr:to>
      <xdr:col>21</xdr:col>
      <xdr:colOff>452160</xdr:colOff>
      <xdr:row>35</xdr:row>
      <xdr:rowOff>33058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6315C5-3C46-4EE3-57FC-502EE2B29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10</xdr:col>
      <xdr:colOff>510267</xdr:colOff>
      <xdr:row>40</xdr:row>
      <xdr:rowOff>151721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2BD5F1-3256-4BB3-9674-A252270A1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104775</xdr:rowOff>
    </xdr:from>
    <xdr:to>
      <xdr:col>8</xdr:col>
      <xdr:colOff>9525</xdr:colOff>
      <xdr:row>20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C0F2EE-49C0-4479-BFFC-C76CFDB17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76760</xdr:rowOff>
    </xdr:from>
    <xdr:to>
      <xdr:col>8</xdr:col>
      <xdr:colOff>28575</xdr:colOff>
      <xdr:row>40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F02D1A-3BF5-4B23-86F4-A3023558B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40</xdr:row>
      <xdr:rowOff>85725</xdr:rowOff>
    </xdr:from>
    <xdr:to>
      <xdr:col>8</xdr:col>
      <xdr:colOff>57150</xdr:colOff>
      <xdr:row>60</xdr:row>
      <xdr:rowOff>56590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259BC89-2438-44D2-95B3-36D3227BA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60</xdr:row>
      <xdr:rowOff>95250</xdr:rowOff>
    </xdr:from>
    <xdr:to>
      <xdr:col>8</xdr:col>
      <xdr:colOff>28575</xdr:colOff>
      <xdr:row>80</xdr:row>
      <xdr:rowOff>66115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0F5AE64-A9A0-4007-8372-868B40A00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133350</xdr:colOff>
      <xdr:row>80</xdr:row>
      <xdr:rowOff>85725</xdr:rowOff>
    </xdr:from>
    <xdr:to>
      <xdr:col>8</xdr:col>
      <xdr:colOff>161925</xdr:colOff>
      <xdr:row>100</xdr:row>
      <xdr:rowOff>56590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E20998F-B6DD-4992-BD39-45DB45DD5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102</xdr:row>
      <xdr:rowOff>28575</xdr:rowOff>
    </xdr:from>
    <xdr:to>
      <xdr:col>8</xdr:col>
      <xdr:colOff>28575</xdr:colOff>
      <xdr:row>121</xdr:row>
      <xdr:rowOff>189940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37192DB-36A6-45ED-A1C9-1BFFAF741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47625</xdr:colOff>
      <xdr:row>122</xdr:row>
      <xdr:rowOff>76200</xdr:rowOff>
    </xdr:from>
    <xdr:to>
      <xdr:col>8</xdr:col>
      <xdr:colOff>76200</xdr:colOff>
      <xdr:row>142</xdr:row>
      <xdr:rowOff>47065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49B482E-D29D-4460-A17B-668AD696E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485775</xdr:colOff>
      <xdr:row>1</xdr:row>
      <xdr:rowOff>104775</xdr:rowOff>
    </xdr:from>
    <xdr:to>
      <xdr:col>16</xdr:col>
      <xdr:colOff>514350</xdr:colOff>
      <xdr:row>21</xdr:row>
      <xdr:rowOff>75640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302989A-6481-4DB8-9EEA-19A0C563F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523875</xdr:colOff>
      <xdr:row>22</xdr:row>
      <xdr:rowOff>47625</xdr:rowOff>
    </xdr:from>
    <xdr:to>
      <xdr:col>16</xdr:col>
      <xdr:colOff>552450</xdr:colOff>
      <xdr:row>42</xdr:row>
      <xdr:rowOff>18490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DA57482-7F56-47A0-9E46-1E1305B91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43</xdr:row>
      <xdr:rowOff>47625</xdr:rowOff>
    </xdr:from>
    <xdr:to>
      <xdr:col>16</xdr:col>
      <xdr:colOff>609600</xdr:colOff>
      <xdr:row>63</xdr:row>
      <xdr:rowOff>18490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736D6ED-B836-42FA-A534-D1AFEB10C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619125</xdr:colOff>
      <xdr:row>63</xdr:row>
      <xdr:rowOff>161925</xdr:rowOff>
    </xdr:from>
    <xdr:to>
      <xdr:col>16</xdr:col>
      <xdr:colOff>647700</xdr:colOff>
      <xdr:row>80</xdr:row>
      <xdr:rowOff>38100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F172A08-0EF1-4426-AE37-114A6A410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695325</xdr:colOff>
      <xdr:row>80</xdr:row>
      <xdr:rowOff>66675</xdr:rowOff>
    </xdr:from>
    <xdr:to>
      <xdr:col>16</xdr:col>
      <xdr:colOff>723900</xdr:colOff>
      <xdr:row>100</xdr:row>
      <xdr:rowOff>133350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99C3FF2-B7B5-4D76-BCA6-46A7663E0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714375</xdr:colOff>
      <xdr:row>102</xdr:row>
      <xdr:rowOff>9525</xdr:rowOff>
    </xdr:from>
    <xdr:to>
      <xdr:col>16</xdr:col>
      <xdr:colOff>742950</xdr:colOff>
      <xdr:row>121</xdr:row>
      <xdr:rowOff>170890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7DBDB450-0FE5-412E-8EE2-D219ED285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733425</xdr:colOff>
      <xdr:row>122</xdr:row>
      <xdr:rowOff>95250</xdr:rowOff>
    </xdr:from>
    <xdr:to>
      <xdr:col>17</xdr:col>
      <xdr:colOff>0</xdr:colOff>
      <xdr:row>142</xdr:row>
      <xdr:rowOff>66115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342DECB9-9F43-4B5F-A7FB-8FF374D77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676274</xdr:colOff>
      <xdr:row>1</xdr:row>
      <xdr:rowOff>142875</xdr:rowOff>
    </xdr:from>
    <xdr:to>
      <xdr:col>26</xdr:col>
      <xdr:colOff>514349</xdr:colOff>
      <xdr:row>21</xdr:row>
      <xdr:rowOff>66675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66556297-7BE2-46F8-A847-AC4C1C64B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180974</xdr:colOff>
      <xdr:row>25</xdr:row>
      <xdr:rowOff>19050</xdr:rowOff>
    </xdr:from>
    <xdr:to>
      <xdr:col>26</xdr:col>
      <xdr:colOff>571499</xdr:colOff>
      <xdr:row>43</xdr:row>
      <xdr:rowOff>161925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9628D5F6-7327-43C2-A31C-F0D84B61E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238125</xdr:colOff>
      <xdr:row>44</xdr:row>
      <xdr:rowOff>114300</xdr:rowOff>
    </xdr:from>
    <xdr:to>
      <xdr:col>33</xdr:col>
      <xdr:colOff>86847</xdr:colOff>
      <xdr:row>59</xdr:row>
      <xdr:rowOff>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5F0689D2-3CA2-4C94-BB9E-F8548FECD5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26</xdr:col>
      <xdr:colOff>600075</xdr:colOff>
      <xdr:row>1</xdr:row>
      <xdr:rowOff>142874</xdr:rowOff>
    </xdr:from>
    <xdr:to>
      <xdr:col>36</xdr:col>
      <xdr:colOff>752475</xdr:colOff>
      <xdr:row>20</xdr:row>
      <xdr:rowOff>190499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F065C92-2EBD-42C8-BE82-4B14B341B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498665</xdr:colOff>
      <xdr:row>283</xdr:row>
      <xdr:rowOff>145676</xdr:rowOff>
    </xdr:from>
    <xdr:to>
      <xdr:col>25</xdr:col>
      <xdr:colOff>28017</xdr:colOff>
      <xdr:row>318</xdr:row>
      <xdr:rowOff>11206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77090128-C9BB-4D08-8E7B-22E9886F9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18</xdr:col>
      <xdr:colOff>0</xdr:colOff>
      <xdr:row>318</xdr:row>
      <xdr:rowOff>113176</xdr:rowOff>
    </xdr:from>
    <xdr:to>
      <xdr:col>29</xdr:col>
      <xdr:colOff>924488</xdr:colOff>
      <xdr:row>364</xdr:row>
      <xdr:rowOff>89647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D2227DBB-072F-44AD-B8C1-B12DBFD45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263337</xdr:colOff>
      <xdr:row>84</xdr:row>
      <xdr:rowOff>113179</xdr:rowOff>
    </xdr:from>
    <xdr:to>
      <xdr:col>25</xdr:col>
      <xdr:colOff>952500</xdr:colOff>
      <xdr:row>115</xdr:row>
      <xdr:rowOff>33617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D826454A-B523-4BCA-AFF2-5018F59E8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18</xdr:col>
      <xdr:colOff>302559</xdr:colOff>
      <xdr:row>119</xdr:row>
      <xdr:rowOff>134471</xdr:rowOff>
    </xdr:from>
    <xdr:to>
      <xdr:col>25</xdr:col>
      <xdr:colOff>991722</xdr:colOff>
      <xdr:row>150</xdr:row>
      <xdr:rowOff>54909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F390E7C5-2500-484A-A12C-33C4518AE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18</xdr:col>
      <xdr:colOff>493058</xdr:colOff>
      <xdr:row>152</xdr:row>
      <xdr:rowOff>78441</xdr:rowOff>
    </xdr:from>
    <xdr:to>
      <xdr:col>26</xdr:col>
      <xdr:colOff>50427</xdr:colOff>
      <xdr:row>182</xdr:row>
      <xdr:rowOff>189379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DE0EA3C6-10B5-468B-A81C-3614C0838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437029</xdr:colOff>
      <xdr:row>185</xdr:row>
      <xdr:rowOff>67236</xdr:rowOff>
    </xdr:from>
    <xdr:to>
      <xdr:col>25</xdr:col>
      <xdr:colOff>1126192</xdr:colOff>
      <xdr:row>215</xdr:row>
      <xdr:rowOff>178174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ABBC6E2D-8702-4387-BBBD-4FE97F216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18</xdr:col>
      <xdr:colOff>493058</xdr:colOff>
      <xdr:row>218</xdr:row>
      <xdr:rowOff>78441</xdr:rowOff>
    </xdr:from>
    <xdr:to>
      <xdr:col>26</xdr:col>
      <xdr:colOff>50427</xdr:colOff>
      <xdr:row>248</xdr:row>
      <xdr:rowOff>189379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66ABB94-CABB-47A8-8976-1EA2255B3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18</xdr:col>
      <xdr:colOff>493058</xdr:colOff>
      <xdr:row>250</xdr:row>
      <xdr:rowOff>100848</xdr:rowOff>
    </xdr:from>
    <xdr:to>
      <xdr:col>26</xdr:col>
      <xdr:colOff>50427</xdr:colOff>
      <xdr:row>281</xdr:row>
      <xdr:rowOff>21286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4F84C712-165B-460D-A8A6-52739A99B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B1162D2-68CA-405F-AEAA-E78AB241F153}" name="Tabla25" displayName="Tabla25" ref="A60:M66" totalsRowShown="0">
  <autoFilter ref="A60:M66" xr:uid="{BB1162D2-68CA-405F-AEAA-E78AB241F153}"/>
  <tableColumns count="13">
    <tableColumn id="1" xr3:uid="{6CA5AF07-AAAD-48F7-96E0-C69B10BB3EE0}" name="TOTAL "/>
    <tableColumn id="2" xr3:uid="{20DD48C1-455D-4A25-8A16-A0987DB19AC3}" name="100" dataDxfId="447">
      <calculatedColumnFormula>(B45+B53)+(B45+B53)*0.04+275/Tabla25[[#Headers],[100]]/'CALCULADORA COSTES'!$B$15</calculatedColumnFormula>
    </tableColumn>
    <tableColumn id="3" xr3:uid="{284E9961-4B68-43E6-A653-E4AB7449FBD8}" name="200" dataDxfId="446">
      <calculatedColumnFormula>(C45+C53)+(C45+C53)*0.04+275/Tabla25[[#Headers],[200]]/'CALCULADORA COSTES'!$B$15</calculatedColumnFormula>
    </tableColumn>
    <tableColumn id="4" xr3:uid="{906FB1F7-6702-4609-98BD-5BFF79ED1A5B}" name="300" dataDxfId="445">
      <calculatedColumnFormula>(D45+D53)+(D45+D53)*0.04+275/Tabla25[[#Headers],[300]]/'CALCULADORA COSTES'!$B$15</calculatedColumnFormula>
    </tableColumn>
    <tableColumn id="5" xr3:uid="{9794F265-6F80-4870-B6B5-62C4EA80385D}" name="400" dataDxfId="444">
      <calculatedColumnFormula>(E45+E53)+(E45+E53)*0.04+275/Tabla25[[#Headers],[400]]/'CALCULADORA COSTES'!$B$15</calculatedColumnFormula>
    </tableColumn>
    <tableColumn id="6" xr3:uid="{B4342DD0-7F31-4906-A22F-E8F43ABA3448}" name="500" dataDxfId="443">
      <calculatedColumnFormula>(F45+F53)+(F45+F53)*0.04+275/Tabla25[[#Headers],[500]]/'CALCULADORA COSTES'!$B$15</calculatedColumnFormula>
    </tableColumn>
    <tableColumn id="7" xr3:uid="{45CA23E4-08B8-49B1-A346-EEE806E1F997}" name="600" dataDxfId="442">
      <calculatedColumnFormula>(G45+G53)+(G45+G53)*0.04+275/Tabla25[[#Headers],[600]]/'CALCULADORA COSTES'!$B$15</calculatedColumnFormula>
    </tableColumn>
    <tableColumn id="8" xr3:uid="{E29D0C0B-E47F-4362-BE81-11A80F731C6B}" name="700" dataDxfId="441">
      <calculatedColumnFormula>(H45+H53)+(H45+H53)*0.04+275/Tabla25[[#Headers],[700]]/'CALCULADORA COSTES'!$B$15</calculatedColumnFormula>
    </tableColumn>
    <tableColumn id="9" xr3:uid="{0F77DFC3-C5B5-432B-8AF8-FB527E3094AE}" name="800" dataDxfId="440">
      <calculatedColumnFormula>(I45+I53)+(I45+I53)*0.04+275/Tabla25[[#Headers],[800]]/'CALCULADORA COSTES'!$B$15</calculatedColumnFormula>
    </tableColumn>
    <tableColumn id="10" xr3:uid="{2DB5DBDB-42B2-45F7-B573-18ACCC52760C}" name="900" dataDxfId="439">
      <calculatedColumnFormula>(J45+J53)+(J45+J53)*0.04+275/Tabla25[[#Headers],[900]]/'CALCULADORA COSTES'!$B$15</calculatedColumnFormula>
    </tableColumn>
    <tableColumn id="11" xr3:uid="{C4406C6B-02CE-45B9-A0EC-EF9EAC72F900}" name="1000" dataDxfId="438">
      <calculatedColumnFormula>(K45+K53)+(K45+K53)*0.04+275/Tabla25[[#Headers],[1000]]/'CALCULADORA COSTES'!$B$15</calculatedColumnFormula>
    </tableColumn>
    <tableColumn id="12" xr3:uid="{21020561-514A-4335-877B-FA896A0727A1}" name="1100" dataDxfId="437">
      <calculatedColumnFormula>(L45+L53)+(L45+L53)*0.04+275/Tabla25[[#Headers],[1100]]/'CALCULADORA COSTES'!$B$15</calculatedColumnFormula>
    </tableColumn>
    <tableColumn id="13" xr3:uid="{E4D9AD53-6952-47DD-811E-E9A384780F45}" name="1200" dataDxfId="436">
      <calculatedColumnFormula>(M45+M53)+(M45+M53)*0.04+275/Tabla25[[#Headers],[1200]]/'CALCULADORA COSTES'!$B$15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2D4F344-6F11-4EB6-A229-822E5BA96C7F}" name="Tabla26" displayName="Tabla26" ref="A44:M50" totalsRowShown="0">
  <autoFilter ref="A44:M50" xr:uid="{92D4F344-6F11-4EB6-A229-822E5BA96C7F}"/>
  <tableColumns count="13">
    <tableColumn id="1" xr3:uid="{E6225D1F-8024-43DB-8167-1A3DB77F7E5F}" name="COSTES FIJOS"/>
    <tableColumn id="2" xr3:uid="{13FF4282-7523-4743-86A4-C1384DEC0AF0}" name="100" dataCellStyle="Moneda"/>
    <tableColumn id="3" xr3:uid="{EED7032C-8470-41FE-BB7B-D406E80927B5}" name="200" dataCellStyle="Moneda"/>
    <tableColumn id="4" xr3:uid="{3939CD54-6033-45E5-8DA5-BD8268EBF886}" name="300" dataCellStyle="Moneda"/>
    <tableColumn id="5" xr3:uid="{72BF5166-080D-454A-ACCA-335E1C573B6B}" name="400" dataCellStyle="Moneda"/>
    <tableColumn id="6" xr3:uid="{65413D3E-4832-424F-8584-D32E26516CB5}" name="500" dataCellStyle="Moneda"/>
    <tableColumn id="7" xr3:uid="{3F98F0A0-4E19-4CF6-9695-E96BC6C9C319}" name="600" dataCellStyle="Moneda"/>
    <tableColumn id="8" xr3:uid="{54969317-2939-4528-B6CA-D080DFFBBEF8}" name="700" dataCellStyle="Moneda"/>
    <tableColumn id="9" xr3:uid="{A2CDE45E-91E0-4EE7-BDF4-BE38B117297A}" name="800" dataCellStyle="Moneda"/>
    <tableColumn id="10" xr3:uid="{1A5C19BE-F82C-4BA5-AE83-3D0012084F33}" name="900" dataCellStyle="Moneda"/>
    <tableColumn id="11" xr3:uid="{FFB90EA0-A113-449B-8E5B-23EB0A7C45BB}" name="1000" dataCellStyle="Moneda"/>
    <tableColumn id="12" xr3:uid="{6F97CABD-093A-43A1-B729-A90EEE319FDF}" name="1100" dataCellStyle="Moneda"/>
    <tableColumn id="13" xr3:uid="{7157B993-45D0-47CA-81E8-D2DE9BAF329C}" name="1200" dataCellStyle="Mone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57E9E73-9872-44FF-839F-6A985BFCB9FF}" name="Tabla27" displayName="Tabla27" ref="A52:M58" totalsRowShown="0">
  <autoFilter ref="A52:M58" xr:uid="{157E9E73-9872-44FF-839F-6A985BFCB9FF}"/>
  <tableColumns count="13">
    <tableColumn id="1" xr3:uid="{C6E5E9F4-772C-42D0-9153-9897C8E0884A}" name="COSTES VARIABLES"/>
    <tableColumn id="2" xr3:uid="{4C701E24-C25A-46A1-A822-0538457EE883}" name="100" dataCellStyle="Moneda"/>
    <tableColumn id="3" xr3:uid="{BB64054C-2BE8-4F0F-AF5E-B545F0DDF90A}" name="200" dataCellStyle="Moneda"/>
    <tableColumn id="4" xr3:uid="{5886FF5C-DED2-44AA-835D-8AB45EB06D18}" name="300" dataCellStyle="Moneda"/>
    <tableColumn id="5" xr3:uid="{ECA5E8F1-06AE-43EA-AA4C-152015567F04}" name="400" dataCellStyle="Moneda"/>
    <tableColumn id="6" xr3:uid="{1D846B3B-4FFF-450D-BB54-AC113DAB479E}" name="500" dataCellStyle="Moneda"/>
    <tableColumn id="7" xr3:uid="{B526D300-A412-40C2-BEB4-545612BA9398}" name="600" dataCellStyle="Moneda"/>
    <tableColumn id="8" xr3:uid="{13436C6A-F096-4010-8B72-E98BE02592D3}" name="700" dataCellStyle="Moneda"/>
    <tableColumn id="9" xr3:uid="{D381A717-FC34-4B8C-BDAB-648B13A6B0C2}" name="800" dataCellStyle="Moneda"/>
    <tableColumn id="10" xr3:uid="{9C329878-1532-49E0-BC06-3ADF872D74E7}" name="900" dataCellStyle="Moneda"/>
    <tableColumn id="11" xr3:uid="{5FB377F7-232F-4FF7-9FD3-6D4901AB6861}" name="1000" dataCellStyle="Moneda"/>
    <tableColumn id="12" xr3:uid="{040EA4CD-BE03-48C3-8539-F336DE30FED4}" name="1100" dataCellStyle="Moneda"/>
    <tableColumn id="13" xr3:uid="{E540E809-E9DA-4FCB-9982-0F8FBE8AB3DA}" name="1200" dataCellStyle="Moned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B4C8150-EF71-44EA-9918-DBC159F56EB6}" name="Tabla28" displayName="Tabla28" ref="A36:M42" totalsRowShown="0" headerRowDxfId="435" dataDxfId="434" dataCellStyle="Porcentaje">
  <autoFilter ref="A36:M42" xr:uid="{1B4C8150-EF71-44EA-9918-DBC159F56EB6}"/>
  <tableColumns count="13">
    <tableColumn id="1" xr3:uid="{E7DA916E-822D-494A-AEAD-E08B259BDC89}" name="DIFERENCIA" dataDxfId="433" dataCellStyle="Porcentaje"/>
    <tableColumn id="2" xr3:uid="{BABBACA2-CF0A-4048-B83C-4D8D443C6681}" name="100" dataDxfId="432" dataCellStyle="Porcentaje"/>
    <tableColumn id="3" xr3:uid="{3187A787-9381-43FD-8D63-6AEDF840BEED}" name="200" dataDxfId="431" dataCellStyle="Porcentaje"/>
    <tableColumn id="4" xr3:uid="{94353573-F585-41DF-BA64-25F3C2DD978C}" name="300" dataDxfId="430" dataCellStyle="Porcentaje"/>
    <tableColumn id="5" xr3:uid="{6E7C36BE-3027-489D-A297-34EA06CA91BC}" name="400" dataDxfId="429" dataCellStyle="Porcentaje"/>
    <tableColumn id="6" xr3:uid="{3DBFC5F8-6C29-4882-900D-5204C00E77E0}" name="500" dataDxfId="428" dataCellStyle="Porcentaje"/>
    <tableColumn id="7" xr3:uid="{34DDFCD6-6E0B-4477-9811-EEB2CA1AC2DF}" name="600" dataDxfId="427" dataCellStyle="Porcentaje"/>
    <tableColumn id="8" xr3:uid="{4C42B31D-B70C-4DC7-88EE-F32323A989FC}" name="700" dataDxfId="426" dataCellStyle="Porcentaje"/>
    <tableColumn id="9" xr3:uid="{D7AE8935-2129-4368-BF10-92102ADD8A7F}" name="800" dataDxfId="425" dataCellStyle="Porcentaje"/>
    <tableColumn id="10" xr3:uid="{3671862E-6497-45F7-96C2-5C9AE2EAFB3D}" name="900" dataDxfId="424" dataCellStyle="Porcentaje"/>
    <tableColumn id="11" xr3:uid="{B1B67576-F1A4-43A4-B1E1-8A0869D08BB2}" name="1000" dataDxfId="423" dataCellStyle="Porcentaje"/>
    <tableColumn id="12" xr3:uid="{7325379F-B4A1-4151-A60C-EFBA6F773895}" name="1100" dataDxfId="422" dataCellStyle="Porcentaje"/>
    <tableColumn id="13" xr3:uid="{880B0E5F-C963-4D05-AF6A-FDBFAF29BB1B}" name="1200" dataDxfId="421" dataCellStyle="Porcentaj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EAA3E4A-B993-4E37-93C6-EF6C6367EBF2}" name="Tabla14" displayName="Tabla14" ref="A38:O48" totalsRowShown="0" headerRowDxfId="420" dataDxfId="419" dataCellStyle="Moneda">
  <autoFilter ref="A38:O48" xr:uid="{6EAA3E4A-B993-4E37-93C6-EF6C6367EBF2}"/>
  <tableColumns count="15">
    <tableColumn id="1" xr3:uid="{B73F5C93-00FD-4415-BF94-8F620588BE16}" name="SIN SUBVENCIÓN" dataDxfId="418"/>
    <tableColumn id="2" xr3:uid="{03D4AF83-06E4-4039-93FB-84E469207131}" name="100 KMS/DIA" dataDxfId="417" dataCellStyle="Moneda"/>
    <tableColumn id="3" xr3:uid="{E14D33AC-D7AF-406B-BEC4-4D60EDCAEAA4}" name="200 KMS/DIA" dataDxfId="416" dataCellStyle="Moneda"/>
    <tableColumn id="4" xr3:uid="{F8F85709-D9F1-432A-A378-A9914E75D421}" name="300 KMS/DIA" dataDxfId="415" dataCellStyle="Moneda"/>
    <tableColumn id="5" xr3:uid="{8B60669C-F5D0-43E9-9AC8-AF9510F91BE7}" name="400 KMS/DIA" dataDxfId="414" dataCellStyle="Moneda"/>
    <tableColumn id="6" xr3:uid="{47920B7B-1B81-46AC-9F98-37C7B8FF60DF}" name="500 KMS/DIA" dataDxfId="413" dataCellStyle="Moneda"/>
    <tableColumn id="7" xr3:uid="{4D355CE8-89C4-4587-AB83-9488CB4EDF16}" name="600 KMS/DIA" dataDxfId="412" dataCellStyle="Moneda"/>
    <tableColumn id="8" xr3:uid="{31582898-3D05-4F92-9FD2-2EF11C9382F3}" name="700 KMS/DIA" dataDxfId="411" dataCellStyle="Moneda"/>
    <tableColumn id="9" xr3:uid="{81D3CA33-1F4D-4882-9DF1-7381E4494056}" name="800 KMS/DIA" dataDxfId="410" dataCellStyle="Moneda"/>
    <tableColumn id="10" xr3:uid="{D46939EC-55E1-4ABC-92C7-99A83B6A3571}" name="900 KMS/DIA" dataDxfId="409" dataCellStyle="Moneda"/>
    <tableColumn id="11" xr3:uid="{FD7D7CB3-A68D-4015-9B71-AD0EBB24B264}" name="1000 KMS/DIA" dataDxfId="408" dataCellStyle="Moneda"/>
    <tableColumn id="12" xr3:uid="{F6CBDC00-7EC6-4141-9488-D710E9178D95}" name="1100 KMS/DIA" dataDxfId="407" dataCellStyle="Moneda"/>
    <tableColumn id="13" xr3:uid="{7C647859-BD9F-4C0A-A08E-D5CE02DDB0C9}" name="1200 KMS/DIA" dataDxfId="406" dataCellStyle="Moneda"/>
    <tableColumn id="14" xr3:uid="{DB07CE14-9FB2-4EC0-9218-F13ECCDD463E}" name="1300 KMS/DIA" dataDxfId="405" dataCellStyle="Moneda"/>
    <tableColumn id="15" xr3:uid="{A9DE1076-71E1-4A95-9DD5-565A9D7AEB5B}" name="1400 KMS/DIA" dataDxfId="404" dataCellStyle="Moned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2DCDE25-A9F1-440B-B1F9-B6C1E19635FD}" name="Tabla19" displayName="Tabla19" ref="A50:O60" totalsRowShown="0" headerRowDxfId="403" dataDxfId="402" dataCellStyle="Porcentaje">
  <autoFilter ref="A50:O60" xr:uid="{52DCDE25-A9F1-440B-B1F9-B6C1E19635FD}"/>
  <tableColumns count="15">
    <tableColumn id="1" xr3:uid="{8A7CDB32-A3A4-4058-AFA4-6BEAD1F78C7E}" name="SIN SUBVENCIÓN " dataDxfId="401"/>
    <tableColumn id="2" xr3:uid="{A913A4A7-EE11-49E2-B3E3-389523607153}" name="100 KMS/DIA" dataDxfId="400" dataCellStyle="Porcentaje">
      <calculatedColumnFormula>B39/B$44-1</calculatedColumnFormula>
    </tableColumn>
    <tableColumn id="3" xr3:uid="{E0458F8C-5308-4397-8AED-52E9D0C53DD7}" name="200 KMS/DIA" dataDxfId="399" dataCellStyle="Porcentaje">
      <calculatedColumnFormula>C39/C$44-1</calculatedColumnFormula>
    </tableColumn>
    <tableColumn id="4" xr3:uid="{518261CE-9E35-4511-B8F1-3A71A48E674F}" name="300 KMS/DIA" dataDxfId="398" dataCellStyle="Porcentaje">
      <calculatedColumnFormula>D39/D$44-1</calculatedColumnFormula>
    </tableColumn>
    <tableColumn id="5" xr3:uid="{DD4FC314-9A70-4112-B235-0EB83614537F}" name="400 KMS/DIA" dataDxfId="397" dataCellStyle="Porcentaje">
      <calculatedColumnFormula>E39/E$44-1</calculatedColumnFormula>
    </tableColumn>
    <tableColumn id="6" xr3:uid="{381DE7B3-42EA-4132-A559-01DF556BB52B}" name="500 KMS/DIA" dataDxfId="396" dataCellStyle="Porcentaje">
      <calculatedColumnFormula>F39/F$44-1</calculatedColumnFormula>
    </tableColumn>
    <tableColumn id="7" xr3:uid="{CF51DA70-AED5-4A51-B235-5D63DDA672E6}" name="600 KMS/DIA" dataDxfId="395" dataCellStyle="Porcentaje">
      <calculatedColumnFormula>G39/G$44-1</calculatedColumnFormula>
    </tableColumn>
    <tableColumn id="8" xr3:uid="{FAA3E6A9-C22A-4551-8BB9-5769B3A8949B}" name="700 KMS/DIA" dataDxfId="394" dataCellStyle="Porcentaje">
      <calculatedColumnFormula>H39/H$44-1</calculatedColumnFormula>
    </tableColumn>
    <tableColumn id="9" xr3:uid="{6E6CAA14-B640-4398-9A2C-4028BBA931B4}" name="800 KMS/DIA" dataDxfId="393" dataCellStyle="Porcentaje">
      <calculatedColumnFormula>I39/I$44-1</calculatedColumnFormula>
    </tableColumn>
    <tableColumn id="10" xr3:uid="{E16556C6-58E8-410D-8F46-F00CD93EFDE0}" name="900 KMS/DIA" dataDxfId="392" dataCellStyle="Porcentaje">
      <calculatedColumnFormula>J39/J$44-1</calculatedColumnFormula>
    </tableColumn>
    <tableColumn id="11" xr3:uid="{A19B96BB-FDEA-4BC3-9294-D3AE79AA65AB}" name="1000 KMS/DIA" dataDxfId="391" dataCellStyle="Porcentaje">
      <calculatedColumnFormula>K39/K$44-1</calculatedColumnFormula>
    </tableColumn>
    <tableColumn id="12" xr3:uid="{24CA73E7-E7E6-458B-8FAD-59DB28A333E9}" name="1100 KMS/DIA" dataDxfId="390" dataCellStyle="Porcentaje">
      <calculatedColumnFormula>L39/L$44-1</calculatedColumnFormula>
    </tableColumn>
    <tableColumn id="13" xr3:uid="{78D696EE-6E26-4355-B6FF-A8E3C13FF92E}" name="1200 KMS/DIA" dataDxfId="389" dataCellStyle="Porcentaje">
      <calculatedColumnFormula>M39/M$44-1</calculatedColumnFormula>
    </tableColumn>
    <tableColumn id="14" xr3:uid="{BED0B969-1A3F-415C-8D48-32C8A931E1B6}" name="1300 KMS/DIA" dataDxfId="388" dataCellStyle="Porcentaje">
      <calculatedColumnFormula>N39/N$44-1</calculatedColumnFormula>
    </tableColumn>
    <tableColumn id="15" xr3:uid="{BC3D654F-2755-489C-A6DE-D18DA8F233FE}" name="1400 KMS/DIA" dataDxfId="387" dataCellStyle="Porcentaje">
      <calculatedColumnFormula>O39/O$44-1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60F98D3-FDEF-4167-9283-0F25908BEB55}" name="Tabla20" displayName="Tabla20" ref="A62:O64" totalsRowShown="0" headerRowDxfId="386" dataDxfId="385" dataCellStyle="Moneda">
  <autoFilter ref="A62:O64" xr:uid="{C60F98D3-FDEF-4167-9283-0F25908BEB55}"/>
  <tableColumns count="15">
    <tableColumn id="1" xr3:uid="{7D8E4B5A-576B-4FC2-93D9-C6BD2DB490E3}" name="GNL /BIO CON SUBV" dataDxfId="384"/>
    <tableColumn id="2" xr3:uid="{11CF1A6B-FD1A-4925-AD9F-CDA83C52A295}" name="100 KMS/DIA" dataDxfId="383" dataCellStyle="Moneda"/>
    <tableColumn id="3" xr3:uid="{69A63AD1-2C49-4C93-96C2-CE12464E88A2}" name="200 KMS/DIA" dataDxfId="382" dataCellStyle="Moneda"/>
    <tableColumn id="4" xr3:uid="{D59D932A-C09E-471F-8972-49C49C15D958}" name="300 KMS/DIA" dataDxfId="381" dataCellStyle="Moneda"/>
    <tableColumn id="5" xr3:uid="{643C4E2A-B249-491C-940B-78B76B413C1E}" name="400 KMS/DIA" dataDxfId="380" dataCellStyle="Moneda"/>
    <tableColumn id="6" xr3:uid="{4B6EA2C1-E510-4BE9-B823-1BCD4B483228}" name="500 KMS/DIA" dataDxfId="379" dataCellStyle="Moneda"/>
    <tableColumn id="7" xr3:uid="{93526E5F-B8BB-4344-8830-9B45E5C56963}" name="600 KMS/DIA" dataDxfId="378" dataCellStyle="Moneda"/>
    <tableColumn id="8" xr3:uid="{9CCBC59F-9B4E-45AA-9100-A45829AD443C}" name="700 KMS/DIA" dataDxfId="377" dataCellStyle="Moneda"/>
    <tableColumn id="9" xr3:uid="{9E6CA06C-CDEF-45A6-B922-F61F08040BBA}" name="800 KMS/DIA" dataDxfId="376" dataCellStyle="Moneda"/>
    <tableColumn id="10" xr3:uid="{93E7A1DC-6BD6-4B31-91D4-65C7E8CCF959}" name="900 KMS/DIA" dataDxfId="375" dataCellStyle="Moneda"/>
    <tableColumn id="11" xr3:uid="{9DCA4C97-EF9E-4364-B535-CA113EF34A28}" name="1000 KMS/DIA" dataDxfId="374" dataCellStyle="Moneda"/>
    <tableColumn id="12" xr3:uid="{6A69C9FD-27C2-4324-9619-0CBC33E73A36}" name="1100 KMS/DIA" dataDxfId="373" dataCellStyle="Moneda"/>
    <tableColumn id="13" xr3:uid="{7FA9E902-3DFD-4302-91F8-0BC0C9088810}" name="1200 KMS/DIA" dataDxfId="372" dataCellStyle="Moneda"/>
    <tableColumn id="14" xr3:uid="{0DA3452D-FA45-49CF-8349-57B9B5B85054}" name="1300 KMS/DIA" dataDxfId="371" dataCellStyle="Moneda"/>
    <tableColumn id="15" xr3:uid="{1CEA8829-2F78-4F83-BEAA-DB2B9492A64A}" name="1400 KMS/DIA" dataDxfId="370" dataCellStyle="Moned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DC0A55C-1E09-42D0-B37A-3C779C34B090}" name="Tabla21" displayName="Tabla21" ref="A66:O68" totalsRowShown="0" headerRowDxfId="369" dataDxfId="368" dataCellStyle="Porcentaje">
  <autoFilter ref="A66:O68" xr:uid="{0DC0A55C-1E09-42D0-B37A-3C779C34B090}"/>
  <tableColumns count="15">
    <tableColumn id="1" xr3:uid="{782A5212-FC55-4FCD-9FE3-27C0ADA40F41}" name="GNL /BIO CON SUBV" dataDxfId="367"/>
    <tableColumn id="2" xr3:uid="{16D30ABA-8643-460D-B91D-5D7F1930D0C4}" name="100 KMS/DIA" dataDxfId="366" dataCellStyle="Porcentaje">
      <calculatedColumnFormula>B63/B$44-1</calculatedColumnFormula>
    </tableColumn>
    <tableColumn id="3" xr3:uid="{95880B8B-61CA-4308-A344-A3C796408BAC}" name="200 KMS/DIA" dataDxfId="365" dataCellStyle="Porcentaje">
      <calculatedColumnFormula>C63/C$44-1</calculatedColumnFormula>
    </tableColumn>
    <tableColumn id="4" xr3:uid="{0C08A58E-62D7-49C5-84C8-3A5974A797D9}" name="300 KMS/DIA" dataDxfId="364" dataCellStyle="Porcentaje">
      <calculatedColumnFormula>D63/D$44-1</calculatedColumnFormula>
    </tableColumn>
    <tableColumn id="5" xr3:uid="{EAC59533-72E0-4E1F-A7F1-E84D2B459DCC}" name="400 KMS/DIA" dataDxfId="363" dataCellStyle="Porcentaje">
      <calculatedColumnFormula>E63/E$44-1</calculatedColumnFormula>
    </tableColumn>
    <tableColumn id="6" xr3:uid="{2EFA4730-72B1-4A3E-A3D6-1F69F8B64182}" name="500 KMS/DIA" dataDxfId="362" dataCellStyle="Porcentaje">
      <calculatedColumnFormula>F63/F$44-1</calculatedColumnFormula>
    </tableColumn>
    <tableColumn id="7" xr3:uid="{176122DD-E06E-4869-A503-80F0987D9C56}" name="600 KMS/DIA" dataDxfId="361" dataCellStyle="Porcentaje">
      <calculatedColumnFormula>G63/G$44-1</calculatedColumnFormula>
    </tableColumn>
    <tableColumn id="8" xr3:uid="{B8BD94BF-08EA-41A6-A904-024E1B481D6F}" name="700 KMS/DIA" dataDxfId="360" dataCellStyle="Porcentaje">
      <calculatedColumnFormula>H63/H$44-1</calculatedColumnFormula>
    </tableColumn>
    <tableColumn id="9" xr3:uid="{7E5759A7-EBAB-4B7C-9E5C-225950CE9DB9}" name="800 KMS/DIA" dataDxfId="359" dataCellStyle="Porcentaje">
      <calculatedColumnFormula>I63/I$44-1</calculatedColumnFormula>
    </tableColumn>
    <tableColumn id="10" xr3:uid="{A5B4C3D5-DEAC-44AA-9957-7C6DAE8D6C77}" name="900 KMS/DIA" dataDxfId="358" dataCellStyle="Porcentaje">
      <calculatedColumnFormula>J63/J$44-1</calculatedColumnFormula>
    </tableColumn>
    <tableColumn id="11" xr3:uid="{A1F03646-5CBD-48B0-AEB5-45F3FCE23000}" name="1000 KMS/DIA" dataDxfId="357" dataCellStyle="Porcentaje">
      <calculatedColumnFormula>K63/K$44-1</calculatedColumnFormula>
    </tableColumn>
    <tableColumn id="12" xr3:uid="{93DE44D6-2019-4B3E-A4D4-D4E1EA596A0A}" name="1100 KMS/DIA" dataDxfId="356" dataCellStyle="Porcentaje">
      <calculatedColumnFormula>L63/L$44-1</calculatedColumnFormula>
    </tableColumn>
    <tableColumn id="13" xr3:uid="{EE0C254C-5124-4CF0-A296-B27AB1393B7F}" name="1200 KMS/DIA" dataDxfId="355" dataCellStyle="Porcentaje">
      <calculatedColumnFormula>M63/M$44-1</calculatedColumnFormula>
    </tableColumn>
    <tableColumn id="14" xr3:uid="{097B5D0F-C249-4657-98B5-00E56D913D6A}" name="1300 KMS/DIA" dataDxfId="354" dataCellStyle="Porcentaje">
      <calculatedColumnFormula>N63/N$44-1</calculatedColumnFormula>
    </tableColumn>
    <tableColumn id="15" xr3:uid="{B4C354AE-957A-4984-9323-0DC977D725A0}" name="1400 KMS/DIA" dataDxfId="353" dataCellStyle="Porcentaje">
      <calculatedColumnFormula>O63/O$44-1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BBE46-5A60-4B17-A06E-C8D166193292}" name="Tabla13" displayName="Tabla13" ref="A1:K8" totalsRowShown="0" headerRowDxfId="352" dataDxfId="351">
  <autoFilter ref="A1:K8" xr:uid="{761BBE46-5A60-4B17-A06E-C8D166193292}"/>
  <tableColumns count="11">
    <tableColumn id="1" xr3:uid="{4C084794-B905-425B-B504-91BAF062D1A8}" name="€kg H2" dataDxfId="350"/>
    <tableColumn id="2" xr3:uid="{FCFB064D-B5F0-4B89-A76D-B995007729F6}" name="1 €" dataDxfId="349"/>
    <tableColumn id="3" xr3:uid="{73A01C37-757A-461F-A7DE-0813902BDE8B}" name="2 €" dataDxfId="348"/>
    <tableColumn id="4" xr3:uid="{346125AD-782E-4A25-97E0-18176CB5DDD9}" name="3 €" dataDxfId="347"/>
    <tableColumn id="5" xr3:uid="{C33850C5-FB0F-4758-B514-202558D97327}" name="4 €" dataDxfId="346"/>
    <tableColumn id="6" xr3:uid="{F0B52210-6161-4EBF-ADFB-126807D906CD}" name="5 €" dataDxfId="345"/>
    <tableColumn id="7" xr3:uid="{2A8BEDB2-99D9-4BA1-8AAB-E4B05D4A13E0}" name="6 €" dataDxfId="344"/>
    <tableColumn id="8" xr3:uid="{50F51273-A53E-4017-846F-3A1ED2AC4FB7}" name="7 €" dataDxfId="343"/>
    <tableColumn id="9" xr3:uid="{78BBD4B1-2773-4456-B290-57DB19945F4F}" name="8 €" dataDxfId="342"/>
    <tableColumn id="10" xr3:uid="{E71B7B06-E62C-409D-8687-617C57A49B0E}" name="9 €" dataDxfId="341"/>
    <tableColumn id="11" xr3:uid="{92F7B6F6-8D6E-4BC2-84B3-EE9AF8BF850C}" name="10 €" dataDxfId="340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AF7B96-CCF7-4F29-A353-8335BFA0CE2D}" name="Tabla2" displayName="Tabla2" ref="B21:P34" totalsRowShown="0" headerRowDxfId="339" dataDxfId="338" dataCellStyle="Porcentaje">
  <autoFilter ref="B21:P34" xr:uid="{AB877B42-6210-433A-B5E6-99B0BF793A54}"/>
  <tableColumns count="15">
    <tableColumn id="1" xr3:uid="{FCC09BA9-BB07-4E92-8662-67D751345D04}" name="22 D - 5.000 € (G.0,8)"/>
    <tableColumn id="2" xr3:uid="{425D919B-8117-4ACC-BC8D-F9EFA849AB25}" name="100 kms/day" dataDxfId="337" dataCellStyle="Porcentaje"/>
    <tableColumn id="3" xr3:uid="{D5240AC0-F3A2-4E1D-A4AA-4559FD2C07B3}" name="200 kms/day" dataDxfId="336" dataCellStyle="Porcentaje"/>
    <tableColumn id="4" xr3:uid="{CBCFECB6-C9BD-47AC-B26D-40C9EE94373D}" name="300 kms/day" dataDxfId="335" dataCellStyle="Porcentaje"/>
    <tableColumn id="5" xr3:uid="{BA47128A-BC76-4274-9C95-C906166DBADB}" name="400 kms/day" dataDxfId="334" dataCellStyle="Porcentaje"/>
    <tableColumn id="6" xr3:uid="{1A651FCA-C569-4460-8EF8-68D310CFEB83}" name="500 kms/day" dataDxfId="333" dataCellStyle="Porcentaje"/>
    <tableColumn id="7" xr3:uid="{A3DFD021-AF58-46BD-B4C4-16DA376D4966}" name="600 kms/day" dataDxfId="332" dataCellStyle="Porcentaje"/>
    <tableColumn id="8" xr3:uid="{D0C604F7-08BE-4B7C-9B5E-4350ABDAE0CF}" name="700 kms/day" dataDxfId="331" dataCellStyle="Porcentaje"/>
    <tableColumn id="9" xr3:uid="{B654A0D6-0E43-4B5F-808A-0E39E2FAD999}" name="800 kms/day" dataDxfId="330" dataCellStyle="Porcentaje"/>
    <tableColumn id="10" xr3:uid="{BF6A338F-2A68-44AF-97B0-76261DA2B8C3}" name="900 kms/day" dataDxfId="329" dataCellStyle="Porcentaje"/>
    <tableColumn id="11" xr3:uid="{015BFDAD-A349-4A4A-A4C2-3FE4854676DB}" name="1000 kms/day" dataDxfId="328" dataCellStyle="Porcentaje"/>
    <tableColumn id="12" xr3:uid="{18A525AC-28C9-46A0-8F2B-5E937AC8F081}" name="1100 kms/day" dataDxfId="327" dataCellStyle="Porcentaje"/>
    <tableColumn id="13" xr3:uid="{34276981-5A01-4CB2-8732-F834619FACB3}" name="1200 kms/day" dataDxfId="326" dataCellStyle="Porcentaje"/>
    <tableColumn id="14" xr3:uid="{D3C1AEDB-D262-4D73-80E2-E03A15BBAAC2}" name="1300 kms/day" dataDxfId="325" dataCellStyle="Porcentaje"/>
    <tableColumn id="15" xr3:uid="{10B4BF24-B1F7-4EB4-BF44-FF4A78C8981E}" name="1400 kms/day" dataDxfId="324" dataCellStyle="Porcentaje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52EE48-86D7-4A54-B1D9-55FED0D77A41}" name="Tabla3" displayName="Tabla3" ref="B3:P19" totalsRowShown="0" headerRowDxfId="323" dataDxfId="322" dataCellStyle="20% - Énfasis4">
  <autoFilter ref="B3:P19" xr:uid="{1157C6F5-9D52-4411-855A-7486503188A1}"/>
  <tableColumns count="15">
    <tableColumn id="1" xr3:uid="{19BCC308-871D-4D39-8A81-E3B3567CE9C8}" name="22 DIAS - 5.000 €"/>
    <tableColumn id="2" xr3:uid="{34F17EA8-A5FE-4706-B622-FD5D63D11BD0}" name="100 kms/dia" dataDxfId="321" dataCellStyle="20% - Énfasis4"/>
    <tableColumn id="3" xr3:uid="{22ECCF70-FAEB-4D3E-A63D-04268C0EC45A}" name="200 kms/dia" dataDxfId="320" dataCellStyle="20% - Énfasis4"/>
    <tableColumn id="4" xr3:uid="{474D5552-643B-41A6-A28A-2CADC71271A6}" name="300 kms/dia" dataDxfId="319" dataCellStyle="20% - Énfasis4"/>
    <tableColumn id="5" xr3:uid="{9A623D16-2763-4D67-990B-0118FD9C17CD}" name="400 kms/dia" dataDxfId="318" dataCellStyle="20% - Énfasis4"/>
    <tableColumn id="6" xr3:uid="{3E1098AA-4B31-4644-B9F1-8C1CDD4F8A6F}" name="500 kms/dia" dataDxfId="317" dataCellStyle="20% - Énfasis4"/>
    <tableColumn id="7" xr3:uid="{6355DF0A-65C2-4543-BA4C-066770D78EA9}" name="600 kms/dia" dataDxfId="316" dataCellStyle="20% - Énfasis4"/>
    <tableColumn id="8" xr3:uid="{60107A24-D8ED-4C83-BB2B-9387717991A6}" name="700 kms/dia" dataDxfId="315" dataCellStyle="20% - Énfasis4"/>
    <tableColumn id="9" xr3:uid="{FFA5EEFD-A1F7-44EE-B0DD-AFDCEDAD4F2D}" name="800 kms/dia" dataDxfId="314" dataCellStyle="20% - Énfasis4"/>
    <tableColumn id="10" xr3:uid="{3D889655-5453-4285-9B0E-E50AFD825B49}" name="900 kms/dia" dataDxfId="313" dataCellStyle="20% - Énfasis4"/>
    <tableColumn id="11" xr3:uid="{82D3D56F-99DC-4B2E-993B-6DE30DB77B01}" name="1000 kms/dia" dataDxfId="312" dataCellStyle="20% - Énfasis4"/>
    <tableColumn id="12" xr3:uid="{66DBEFEC-06BA-4836-90AA-918D80AB77E2}" name="1100 kms/dia" dataDxfId="311" dataCellStyle="20% - Énfasis4"/>
    <tableColumn id="13" xr3:uid="{4834CEDD-5236-4A6C-8EB4-FB4179C65DA0}" name="1200 kms/dia" dataDxfId="310" dataCellStyle="20% - Énfasis4"/>
    <tableColumn id="14" xr3:uid="{738687DB-9655-4B03-B1CE-7FEF596D0936}" name="1300 kms/dia" dataDxfId="309" dataCellStyle="20% - Énfasis4"/>
    <tableColumn id="15" xr3:uid="{40C11EEE-C410-41A3-94C3-1DD2038B706B}" name="1400 kms/dia" dataDxfId="308" dataCellStyle="20% - Énfasis4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36C5C1-FE6D-4A0E-BDF8-88ED5FD35265}" name="Tabla4" displayName="Tabla4" ref="B37:P50" totalsRowShown="0" headerRowDxfId="307" dataDxfId="306" tableBorderDxfId="305" dataCellStyle="Porcentaje">
  <autoFilter ref="B37:P50" xr:uid="{B81A1867-E5D6-4C78-89AB-A9245CF3947E}"/>
  <tableColumns count="15">
    <tableColumn id="1" xr3:uid="{D9B3F639-32B7-46BD-8F9D-557873AE675C}" name="22 D - 5.000 € (G.0,9)" dataDxfId="304"/>
    <tableColumn id="2" xr3:uid="{5FE70000-C3C0-476C-AB2F-9C0C9BEDDC57}" name="100 kms/dia" dataDxfId="303" dataCellStyle="Porcentaje"/>
    <tableColumn id="3" xr3:uid="{8BD61DF8-76E6-4CC0-BFA8-E335E6677095}" name="200 kms/dia" dataDxfId="302" dataCellStyle="Porcentaje"/>
    <tableColumn id="4" xr3:uid="{D49C2634-33D9-4E08-8B0E-DDB3428DC436}" name="300 kms/dia" dataDxfId="301" dataCellStyle="Porcentaje"/>
    <tableColumn id="5" xr3:uid="{13F64934-0990-4A78-A33C-09F3F4EDE9B1}" name="400 kms/dia" dataDxfId="300" dataCellStyle="Porcentaje"/>
    <tableColumn id="6" xr3:uid="{C02C4A15-F833-433F-850E-ECF32B84BAC9}" name="500 kms/dia" dataDxfId="299" dataCellStyle="Porcentaje"/>
    <tableColumn id="7" xr3:uid="{89FCE33C-EDD8-4858-9AFA-9DE8C041E875}" name="600 kms/dia" dataDxfId="298" dataCellStyle="Porcentaje"/>
    <tableColumn id="8" xr3:uid="{839C57EE-410A-425D-B12E-EACDA15BC28E}" name="700 kms/dia" dataDxfId="297" dataCellStyle="Porcentaje"/>
    <tableColumn id="9" xr3:uid="{0A712BA4-9DF9-4551-B4A8-C941177F9152}" name="800 kms/dia" dataDxfId="296" dataCellStyle="Porcentaje"/>
    <tableColumn id="10" xr3:uid="{934CA8FD-C449-45A1-9B7C-05BDBB50577D}" name="900 kms/dia" dataDxfId="295" dataCellStyle="Porcentaje"/>
    <tableColumn id="11" xr3:uid="{A232E4AA-F942-4A48-A4CC-D8DA8EBE2A62}" name="1000 kms/dia" dataDxfId="294" dataCellStyle="Porcentaje"/>
    <tableColumn id="12" xr3:uid="{40D6DE24-D56B-4B16-BE70-7F56ADF1DE96}" name="1100 kms/dia" dataDxfId="293" dataCellStyle="Porcentaje"/>
    <tableColumn id="13" xr3:uid="{30CE857A-A583-4AF2-A274-197C577EEF89}" name="1200 kms/dia" dataDxfId="292" dataCellStyle="Porcentaje"/>
    <tableColumn id="14" xr3:uid="{A5F05967-DFE4-4BD9-A4FE-68F3113126D9}" name="1300 kms/dia" dataDxfId="291" dataCellStyle="Porcentaje"/>
    <tableColumn id="15" xr3:uid="{70E7616B-AA9F-4EF1-88FB-528A1E116164}" name="1400 kms/dia" dataDxfId="290" dataCellStyle="Porcentaj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9D8A35-B3CB-4A10-9999-6DC39ACC8E1F}" name="Tabla46" displayName="Tabla46" ref="B53:P66" totalsRowShown="0" headerRowDxfId="289" dataDxfId="288" tableBorderDxfId="287" dataCellStyle="Porcentaje">
  <autoFilter ref="B53:P66" xr:uid="{F1F4D2AC-DD54-451C-A393-F29F83406BEF}"/>
  <tableColumns count="15">
    <tableColumn id="1" xr3:uid="{FC295FD6-EE03-44EA-B383-2F2ACD9BC58D}" name="22 D - 5.000 € (G.1)" dataDxfId="286"/>
    <tableColumn id="2" xr3:uid="{BC2FFE1F-A8E5-441A-8643-0811B94414EB}" name="100 kms/dia" dataDxfId="285" dataCellStyle="Porcentaje">
      <calculatedColumnFormula>C4/C$15-1</calculatedColumnFormula>
    </tableColumn>
    <tableColumn id="3" xr3:uid="{6C302649-7856-4B14-A1DC-3A268A2FA69D}" name="200 kms/dia" dataDxfId="284" dataCellStyle="Porcentaje">
      <calculatedColumnFormula>D4/D$15-1</calculatedColumnFormula>
    </tableColumn>
    <tableColumn id="4" xr3:uid="{E1E30EDF-57B1-41C7-9DE2-839B382C8484}" name="300 kms/dia" dataDxfId="283" dataCellStyle="Porcentaje">
      <calculatedColumnFormula>E4/E$15-1</calculatedColumnFormula>
    </tableColumn>
    <tableColumn id="5" xr3:uid="{6901FB35-17FD-4216-B1EF-00EBEBEFD99A}" name="400 kms/dia" dataDxfId="282" dataCellStyle="Porcentaje">
      <calculatedColumnFormula>F4/F$15-1</calculatedColumnFormula>
    </tableColumn>
    <tableColumn id="6" xr3:uid="{FFDFBCF8-438E-4FFA-A597-3A71F601639D}" name="500 kms/dia" dataDxfId="281" dataCellStyle="Porcentaje">
      <calculatedColumnFormula>G4/G$15-1</calculatedColumnFormula>
    </tableColumn>
    <tableColumn id="7" xr3:uid="{F4344F59-28F7-45BC-B2A8-CAA439B7472A}" name="600 kms/dia" dataDxfId="280" dataCellStyle="Porcentaje">
      <calculatedColumnFormula>H4/H$15-1</calculatedColumnFormula>
    </tableColumn>
    <tableColumn id="8" xr3:uid="{B5CE94E2-8892-41AD-8378-053B083D1110}" name="700 kms/dia" dataDxfId="279" dataCellStyle="Porcentaje">
      <calculatedColumnFormula>I4/I$15-1</calculatedColumnFormula>
    </tableColumn>
    <tableColumn id="9" xr3:uid="{F489C97D-66B4-4FB6-B57A-BE5764DFF4D9}" name="800 kms/dia" dataDxfId="278" dataCellStyle="Porcentaje">
      <calculatedColumnFormula>J4/J$15-1</calculatedColumnFormula>
    </tableColumn>
    <tableColumn id="10" xr3:uid="{73492C26-9866-4641-9F98-41B041E2B671}" name="900 kms/dia" dataDxfId="277" dataCellStyle="Porcentaje">
      <calculatedColumnFormula>K4/K$15-1</calculatedColumnFormula>
    </tableColumn>
    <tableColumn id="11" xr3:uid="{6911A7E1-2EE3-42D9-91D6-A1A71F00C379}" name="1000 kms/dia" dataDxfId="276" dataCellStyle="Porcentaje">
      <calculatedColumnFormula>L4/L$15-1</calculatedColumnFormula>
    </tableColumn>
    <tableColumn id="12" xr3:uid="{1CCE1154-DF11-444E-BD8F-2FF524CD4E7B}" name="1100 kms/dia" dataDxfId="275" dataCellStyle="Porcentaje">
      <calculatedColumnFormula>M4/M$15-1</calculatedColumnFormula>
    </tableColumn>
    <tableColumn id="13" xr3:uid="{2B701C1E-0FBA-4427-93B4-AE65D49506E1}" name="1200 kms/dia" dataDxfId="274" dataCellStyle="Porcentaje">
      <calculatedColumnFormula>N4/N$15-1</calculatedColumnFormula>
    </tableColumn>
    <tableColumn id="14" xr3:uid="{0DA46E86-A5CB-4EC2-9A5A-88B506076C88}" name="1300 kms/dia" dataDxfId="273" dataCellStyle="Porcentaje">
      <calculatedColumnFormula>O4/O$15-1</calculatedColumnFormula>
    </tableColumn>
    <tableColumn id="15" xr3:uid="{F4A61606-D475-4909-BC37-C4F12516A130}" name="1400 kms/dia" dataDxfId="272" dataCellStyle="Porcentaje">
      <calculatedColumnFormula>P4/P$15-1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6C62235-369C-47A6-A85E-A1FD85AC3238}" name="Tabla319" displayName="Tabla319" ref="B68:P82" totalsRowShown="0" headerRowDxfId="271" dataDxfId="270" dataCellStyle="20% - Énfasis4">
  <autoFilter ref="B68:P82" xr:uid="{D27E70EF-67F1-43C7-AB0B-C04198243D26}"/>
  <tableColumns count="15">
    <tableColumn id="1" xr3:uid="{A9AAD71F-6912-4E2C-8B50-31C39D7F1B90}" name="22 DIAS - 3.500 €"/>
    <tableColumn id="2" xr3:uid="{CCBB95B3-00C5-44AB-8653-AFB85A52A135}" name="100 kms/dia" dataDxfId="269" dataCellStyle="20% - Énfasis4"/>
    <tableColumn id="3" xr3:uid="{0A35855E-980B-4560-BA5C-EDD2B424D18F}" name="200 kms/dia" dataDxfId="268" dataCellStyle="20% - Énfasis4"/>
    <tableColumn id="4" xr3:uid="{9215EE80-9741-48B3-BA94-D8E53B4A6481}" name="300 kms/dia" dataDxfId="267" dataCellStyle="20% - Énfasis4"/>
    <tableColumn id="5" xr3:uid="{5923CEB7-85E7-4B3D-BF98-918785A4DDC4}" name="400 kms/dia" dataDxfId="266" dataCellStyle="20% - Énfasis4"/>
    <tableColumn id="6" xr3:uid="{E5D5F588-2694-44E6-B54F-BFE1140535D0}" name="500 kms/dia" dataDxfId="265" dataCellStyle="20% - Énfasis4"/>
    <tableColumn id="7" xr3:uid="{63AB898B-DABB-4DB0-B650-8FAA65600982}" name="600 kms/dia" dataDxfId="264" dataCellStyle="20% - Énfasis4"/>
    <tableColumn id="8" xr3:uid="{47D300BE-0216-4696-872B-E3EE920F901D}" name="700 kms/dia" dataDxfId="263" dataCellStyle="20% - Énfasis4"/>
    <tableColumn id="9" xr3:uid="{834261B0-98BB-47F1-B84B-57BEE73CA631}" name="800 kms/dia" dataDxfId="262" dataCellStyle="20% - Énfasis4"/>
    <tableColumn id="10" xr3:uid="{FC142CD8-73BE-499F-967C-A6BEC11BAC57}" name="900 kms/dia" dataDxfId="261" dataCellStyle="20% - Énfasis4"/>
    <tableColumn id="11" xr3:uid="{DE050A91-ED48-4969-8824-2CC696CDF676}" name="1000 kms/dia" dataDxfId="260" dataCellStyle="20% - Énfasis4"/>
    <tableColumn id="12" xr3:uid="{3D01E5A5-766F-41DE-829A-917CCDB84D68}" name="1100 kms/dia" dataDxfId="259" dataCellStyle="20% - Énfasis4"/>
    <tableColumn id="13" xr3:uid="{A3CB48ED-11FC-4CA1-985D-12147715E0A4}" name="1200 kms/dia" dataDxfId="258" dataCellStyle="20% - Énfasis4"/>
    <tableColumn id="14" xr3:uid="{97CB28EA-4042-4AFB-9308-7ABDD0ACCA0C}" name="1300 kms/dia" dataDxfId="257" dataCellStyle="20% - Énfasis4"/>
    <tableColumn id="15" xr3:uid="{98710437-6E61-41BC-82F4-50657A362AE6}" name="1400 kms/dia" dataDxfId="256" dataCellStyle="20% - Énfasis4"/>
  </tableColumns>
  <tableStyleInfo name="TableStyleMedium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CCA2777-B5F2-4501-A8C2-AB98AC24A966}" name="Tabla223" displayName="Tabla223" ref="B86:P98" totalsRowShown="0" headerRowDxfId="255" dataDxfId="254" dataCellStyle="Porcentaje">
  <autoFilter ref="B86:P98" xr:uid="{61E84D77-5AFC-4217-A7BC-DAE61343304C}"/>
  <tableColumns count="15">
    <tableColumn id="1" xr3:uid="{26D7777C-9ABD-4E2B-B6A8-80E3FA216EA0}" name="22 D - 3.500 € (G.0,8)"/>
    <tableColumn id="2" xr3:uid="{B8A42EF3-CBF0-4202-AF44-13035167931D}" name="100 kms/dia" dataDxfId="253" dataCellStyle="Porcentaje"/>
    <tableColumn id="3" xr3:uid="{B94C94E3-3478-4CAA-B564-91EE2E23F22A}" name="200 kms/dia" dataDxfId="252" dataCellStyle="Porcentaje"/>
    <tableColumn id="4" xr3:uid="{CB375A93-A2B2-4B26-9B46-E63B53F2C46F}" name="300 kms/dia" dataDxfId="251" dataCellStyle="Porcentaje"/>
    <tableColumn id="5" xr3:uid="{C3BAD3FC-2541-4B4F-A2F9-66A1C70EFAED}" name="400 kms/dia" dataDxfId="250" dataCellStyle="Porcentaje"/>
    <tableColumn id="6" xr3:uid="{6007EAA1-EC5A-4E68-BABB-CEA10BF8A4CC}" name="500 kms/dia" dataDxfId="249" dataCellStyle="Porcentaje"/>
    <tableColumn id="7" xr3:uid="{767F7847-C0DA-4FB2-B42A-EAD2D57C7563}" name="600 kms/dia" dataDxfId="248" dataCellStyle="Porcentaje"/>
    <tableColumn id="8" xr3:uid="{7C1B5E71-0367-4948-B8D8-FC03049A91B1}" name="700 kms/dia" dataDxfId="247" dataCellStyle="Porcentaje"/>
    <tableColumn id="9" xr3:uid="{65122B17-D3C8-4361-8205-D1BADE510C88}" name="800 kms/dia" dataDxfId="246" dataCellStyle="Porcentaje"/>
    <tableColumn id="10" xr3:uid="{F82F051A-816C-4199-AB9D-45E95D8AE18A}" name="900 kms/dia" dataDxfId="245" dataCellStyle="Porcentaje"/>
    <tableColumn id="11" xr3:uid="{601624B2-E9A2-4D37-B75A-0BF7C148707E}" name="1000 kms/dia" dataDxfId="244" dataCellStyle="Porcentaje"/>
    <tableColumn id="12" xr3:uid="{5FF78D91-EF60-434D-8418-05FAF51E7744}" name="1100 kms/dia" dataDxfId="243" dataCellStyle="Porcentaje"/>
    <tableColumn id="13" xr3:uid="{1FD670E3-F235-4D56-9058-2F1F11533380}" name="1200 kms/dia" dataDxfId="242" dataCellStyle="Porcentaje"/>
    <tableColumn id="14" xr3:uid="{FC4A0A14-99A6-4D5D-9FDA-556EAAD673C2}" name="1300 kms/dia" dataDxfId="241" dataCellStyle="Porcentaje"/>
    <tableColumn id="15" xr3:uid="{90C33BB0-C9A3-4EB8-AFD5-545C30C5CFB4}" name="1400 kms/dia" dataDxfId="240" dataCellStyle="Porcentaje"/>
  </tableColumns>
  <tableStyleInfo name="TableStyleMedium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919BFEF-D308-45FD-BA43-2B23C7E694FB}" name="Tabla424" displayName="Tabla424" ref="B102:P114" totalsRowShown="0" headerRowDxfId="239" dataDxfId="238" tableBorderDxfId="237" dataCellStyle="Porcentaje">
  <autoFilter ref="B102:P114" xr:uid="{8044A21E-9558-4E16-AC45-879A714071AA}"/>
  <tableColumns count="15">
    <tableColumn id="1" xr3:uid="{B8699E18-44E3-4655-B4C5-9C12F79A2FC2}" name="22 D - 3500 € (G.0,9)" dataDxfId="236"/>
    <tableColumn id="2" xr3:uid="{8ADEA806-3D2F-419D-B10B-81CC4A5934D6}" name="100 kms/dia" dataDxfId="235" dataCellStyle="Porcentaje"/>
    <tableColumn id="3" xr3:uid="{EE3F08F9-9A29-4807-A9CA-00633BF41D10}" name="200 kms/dia" dataDxfId="234" dataCellStyle="Porcentaje"/>
    <tableColumn id="4" xr3:uid="{97F6214D-CC97-44DD-B75E-94F11D85F109}" name="300 kms/dia" dataDxfId="233" dataCellStyle="Porcentaje"/>
    <tableColumn id="5" xr3:uid="{48D0A3B2-8A64-4157-B791-E79985F34A5D}" name="400 kms/dia" dataDxfId="232" dataCellStyle="Porcentaje"/>
    <tableColumn id="6" xr3:uid="{6AF64DC0-D2B6-435B-A32F-91C42D2F578E}" name="500 kms/dia" dataDxfId="231" dataCellStyle="Porcentaje"/>
    <tableColumn id="7" xr3:uid="{D3FA55DB-B6CD-40EA-83DA-7292E944B488}" name="600 kms/dia" dataDxfId="230" dataCellStyle="Porcentaje"/>
    <tableColumn id="8" xr3:uid="{43136C96-3FA6-4D16-A460-D130A936F630}" name="700 kms/dia" dataDxfId="229" dataCellStyle="Porcentaje"/>
    <tableColumn id="9" xr3:uid="{7E120BBE-B917-46C8-814A-89D461EF8077}" name="800 kms/dia" dataDxfId="228" dataCellStyle="Porcentaje"/>
    <tableColumn id="10" xr3:uid="{C67CFB1E-BA82-4EFD-BB36-822EFDCAEF44}" name="900 kms/dia" dataDxfId="227" dataCellStyle="Porcentaje"/>
    <tableColumn id="11" xr3:uid="{9AAC819A-EB25-420E-B54E-E4EDC19AB6A4}" name="1000 kms/dia" dataDxfId="226" dataCellStyle="Porcentaje"/>
    <tableColumn id="12" xr3:uid="{8061D955-BD23-4519-A7BC-ED8018BD25A3}" name="1100 kms/dia" dataDxfId="225" dataCellStyle="Porcentaje"/>
    <tableColumn id="13" xr3:uid="{C57F1CE4-697E-4C10-B90B-3BDFAEDEAF3A}" name="1200 kms/dia" dataDxfId="224" dataCellStyle="Porcentaje"/>
    <tableColumn id="14" xr3:uid="{39A972A4-3053-4131-A792-D809C653C412}" name="1300 kms/dia" dataDxfId="223" dataCellStyle="Porcentaje"/>
    <tableColumn id="15" xr3:uid="{E9BA37EB-DCE0-4036-82BE-47414EF4FECB}" name="1400 kms/dia" dataDxfId="222" dataCellStyle="Porcentaj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156681E-3450-4130-9DCE-F6A75AF95F13}" name="Tabla4625" displayName="Tabla4625" ref="B118:P130" totalsRowShown="0" headerRowDxfId="221" dataDxfId="220" tableBorderDxfId="219" dataCellStyle="Porcentaje">
  <autoFilter ref="B118:P130" xr:uid="{090620A3-B45C-4C7D-A34E-1D284DB57DFD}"/>
  <tableColumns count="15">
    <tableColumn id="1" xr3:uid="{2B1783FE-8552-4C53-B88B-67A5BB85B796}" name="22 D - 3.5000 € (G.1)" dataDxfId="218"/>
    <tableColumn id="2" xr3:uid="{DC7662E6-3C31-4981-B3B6-0A470CD89BB0}" name="100 kms/dia" dataDxfId="217" dataCellStyle="Porcentaje">
      <calculatedColumnFormula>C69/C$15-1</calculatedColumnFormula>
    </tableColumn>
    <tableColumn id="3" xr3:uid="{2ED8D989-BE0E-46A5-A1C5-5010B4634021}" name="200 kms/dia" dataDxfId="216" dataCellStyle="Porcentaje">
      <calculatedColumnFormula>D69/D$15-1</calculatedColumnFormula>
    </tableColumn>
    <tableColumn id="4" xr3:uid="{D026C470-FFBC-41A7-92AD-E399A2599E7C}" name="300 kms/dia" dataDxfId="215" dataCellStyle="Porcentaje">
      <calculatedColumnFormula>E69/E$15-1</calculatedColumnFormula>
    </tableColumn>
    <tableColumn id="5" xr3:uid="{B6D502F6-7216-4F04-95B9-DD9D8D68C6DC}" name="400 kms/dia" dataDxfId="214" dataCellStyle="Porcentaje">
      <calculatedColumnFormula>F69/F$15-1</calculatedColumnFormula>
    </tableColumn>
    <tableColumn id="6" xr3:uid="{085E8C09-C67C-40C6-93AF-F51951D79D4F}" name="500 kms/dia" dataDxfId="213" dataCellStyle="Porcentaje">
      <calculatedColumnFormula>G69/G$15-1</calculatedColumnFormula>
    </tableColumn>
    <tableColumn id="7" xr3:uid="{58F912E1-4BE6-4762-9B41-F06455DAE050}" name="600 kms/dia" dataDxfId="212" dataCellStyle="Porcentaje">
      <calculatedColumnFormula>H69/H$15-1</calculatedColumnFormula>
    </tableColumn>
    <tableColumn id="8" xr3:uid="{16BB4A0E-136C-461E-9B57-73F4D0E3C821}" name="700 kms/dia" dataDxfId="211" dataCellStyle="Porcentaje">
      <calculatedColumnFormula>I69/I$15-1</calculatedColumnFormula>
    </tableColumn>
    <tableColumn id="9" xr3:uid="{6BB78644-0469-4533-BA92-6C768B793E19}" name="800 kms/dia" dataDxfId="210" dataCellStyle="Porcentaje">
      <calculatedColumnFormula>J69/J$15-1</calculatedColumnFormula>
    </tableColumn>
    <tableColumn id="10" xr3:uid="{A5D537E1-5647-4554-8BE2-A774935238AD}" name="900 kms/dia" dataDxfId="209" dataCellStyle="Porcentaje">
      <calculatedColumnFormula>K69/K$15-1</calculatedColumnFormula>
    </tableColumn>
    <tableColumn id="11" xr3:uid="{DED44514-B227-4A3C-AAE7-046FF6561949}" name="1000 kms/dia" dataDxfId="208" dataCellStyle="Porcentaje">
      <calculatedColumnFormula>L69/L$15-1</calculatedColumnFormula>
    </tableColumn>
    <tableColumn id="12" xr3:uid="{5A376957-1E65-48CB-BF61-0E301FFADEC2}" name="1100 kms/dia" dataDxfId="207" dataCellStyle="Porcentaje">
      <calculatedColumnFormula>M69/M$15-1</calculatedColumnFormula>
    </tableColumn>
    <tableColumn id="13" xr3:uid="{E33C004E-0992-4692-885C-7C202CDD8C06}" name="1200 kms/dia" dataDxfId="206" dataCellStyle="Porcentaje">
      <calculatedColumnFormula>N69/N$15-1</calculatedColumnFormula>
    </tableColumn>
    <tableColumn id="14" xr3:uid="{7E66666A-F02D-4B19-8080-822BEC6055BE}" name="1300 kms/dia" dataDxfId="205" dataCellStyle="Porcentaje">
      <calculatedColumnFormula>O69/O$15-1</calculatedColumnFormula>
    </tableColumn>
    <tableColumn id="15" xr3:uid="{E024CBB4-F8BE-4D90-98C3-0C04769187B0}" name="1400 kms/dia" dataDxfId="204" dataCellStyle="Porcentaje">
      <calculatedColumnFormula>P69/P$15-1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E969DA-A8AE-4987-A9A9-020717824FD3}" name="Tabla3197" displayName="Tabla3197" ref="B134:P148" totalsRowShown="0" headerRowDxfId="203" dataDxfId="202" dataCellStyle="20% - Énfasis4">
  <autoFilter ref="B134:P148" xr:uid="{430F0707-EA85-49D4-B29B-F0DC445CCB2C}"/>
  <tableColumns count="15">
    <tableColumn id="1" xr3:uid="{46C42686-59A7-4C8F-A241-84BFFCF2AE5D}" name="22 DIAS - 2.500 €"/>
    <tableColumn id="2" xr3:uid="{ACC29F19-C21F-4415-BB2F-DBB7A007F109}" name="100 kms/dia" dataDxfId="201" dataCellStyle="20% - Énfasis4"/>
    <tableColumn id="3" xr3:uid="{70AE9376-717D-437C-ABBA-06317AFF430C}" name="200 kms/dia" dataDxfId="200" dataCellStyle="20% - Énfasis4"/>
    <tableColumn id="4" xr3:uid="{46997335-F027-4F92-9C6F-473F8D822814}" name="300 kms/dia" dataDxfId="199" dataCellStyle="20% - Énfasis4"/>
    <tableColumn id="5" xr3:uid="{FBC069E6-C2AF-425C-A824-A612F71C303D}" name="400 kms/dia" dataDxfId="198" dataCellStyle="20% - Énfasis4"/>
    <tableColumn id="6" xr3:uid="{07561EA2-DC54-4615-82CF-5185EEF561CF}" name="500 kms/dia" dataDxfId="197" dataCellStyle="20% - Énfasis4"/>
    <tableColumn id="7" xr3:uid="{18C89175-8836-4C25-84F0-04AF881F2D15}" name="600 kms/dia" dataDxfId="196" dataCellStyle="20% - Énfasis4"/>
    <tableColumn id="8" xr3:uid="{9A1699BC-CD5D-4825-8306-D70607473E0D}" name="700 kms/dia" dataDxfId="195" dataCellStyle="20% - Énfasis4"/>
    <tableColumn id="9" xr3:uid="{6FD22C05-0E87-4E6D-8BEA-D4ACD8856DCC}" name="800 kms/dia" dataDxfId="194" dataCellStyle="20% - Énfasis4"/>
    <tableColumn id="10" xr3:uid="{2194D287-7480-4361-98DC-613100785F0E}" name="900 kms/dia" dataDxfId="193" dataCellStyle="20% - Énfasis4"/>
    <tableColumn id="11" xr3:uid="{98C94685-8B99-4C61-AA25-5D4957382FA1}" name="1000 kms/dia" dataDxfId="192" dataCellStyle="20% - Énfasis4"/>
    <tableColumn id="12" xr3:uid="{C98044E9-8B4E-43FD-9260-A8FE6A4DE37B}" name="1100 kms/dia" dataDxfId="191" dataCellStyle="20% - Énfasis4"/>
    <tableColumn id="13" xr3:uid="{1244FD12-6836-4BDF-A11A-A65BFD06419E}" name="1200 kms/dia" dataDxfId="190" dataCellStyle="20% - Énfasis4"/>
    <tableColumn id="14" xr3:uid="{1F4427BA-21DA-41B5-8DAF-D2BF9055B9F0}" name="1300 kms/dia" dataDxfId="189" dataCellStyle="20% - Énfasis4"/>
    <tableColumn id="15" xr3:uid="{83A31260-6E98-4D6F-9E58-A0D00702B21C}" name="1400 kms/dia" dataDxfId="188" dataCellStyle="20% - Énfasis4"/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DA5608-ECF2-4F5B-B679-E416B478A280}" name="Tabla2238" displayName="Tabla2238" ref="B152:P164" totalsRowShown="0" headerRowDxfId="187" dataDxfId="186" dataCellStyle="Porcentaje">
  <autoFilter ref="B152:P164" xr:uid="{452A6E00-1C82-4E50-8511-D45505CA66F0}"/>
  <tableColumns count="15">
    <tableColumn id="1" xr3:uid="{3AD8A42E-30DF-45EC-9878-F9BAA0859B6E}" name="22 D - 2.500 € (G.0,8)"/>
    <tableColumn id="2" xr3:uid="{E516C107-B95C-4C2E-B80D-E0DFF458009D}" name="100 kms/dia" dataDxfId="185" dataCellStyle="Porcentaje"/>
    <tableColumn id="3" xr3:uid="{C15F3617-2D73-4B27-8A63-19227F9124E1}" name="200 kms/dia" dataDxfId="184" dataCellStyle="Porcentaje"/>
    <tableColumn id="4" xr3:uid="{5D0CA900-092A-42A5-B1FC-A99F6DE98256}" name="300 kms/dia" dataDxfId="183" dataCellStyle="Porcentaje"/>
    <tableColumn id="5" xr3:uid="{178A56C8-56D4-4EC0-B730-EA32DC3513AF}" name="400 kms/dia" dataDxfId="182" dataCellStyle="Porcentaje"/>
    <tableColumn id="6" xr3:uid="{3216A680-D45D-4167-9362-6556BC0F8181}" name="500 kms/dia" dataDxfId="181" dataCellStyle="Porcentaje"/>
    <tableColumn id="7" xr3:uid="{F982E18B-67B9-4452-AE1A-180C179727DA}" name="600 kms/dia" dataDxfId="180" dataCellStyle="Porcentaje"/>
    <tableColumn id="8" xr3:uid="{B38DCCAE-F869-41BC-8FAA-D01841215D06}" name="700 kms/dia" dataDxfId="179" dataCellStyle="Porcentaje"/>
    <tableColumn id="9" xr3:uid="{95592BDA-B211-4490-86ED-1EACD6832DE1}" name="800 kms/dia" dataDxfId="178" dataCellStyle="Porcentaje"/>
    <tableColumn id="10" xr3:uid="{2B5E0501-BC35-4ACF-9CAE-0C8A3644B99A}" name="900 kms/dia" dataDxfId="177" dataCellStyle="Porcentaje"/>
    <tableColumn id="11" xr3:uid="{38765F30-9957-41EE-8E30-AC80E86C5A23}" name="1000 kms/dia" dataDxfId="176" dataCellStyle="Porcentaje"/>
    <tableColumn id="12" xr3:uid="{E87711F2-C0D4-4683-8CD8-9EADC8F4BD20}" name="1100 kms/dia" dataDxfId="175" dataCellStyle="Porcentaje"/>
    <tableColumn id="13" xr3:uid="{3706D83F-47B6-4728-9DDF-63FB5E80F998}" name="1200 kms/dia" dataDxfId="174" dataCellStyle="Porcentaje"/>
    <tableColumn id="14" xr3:uid="{5EA55F6E-9E78-4376-9FC9-496201AE980A}" name="1300 kms/dia" dataDxfId="173" dataCellStyle="Porcentaje"/>
    <tableColumn id="15" xr3:uid="{D86D83CF-786C-430A-919A-C0B7949C15A4}" name="1400 kms/dia" dataDxfId="172" dataCellStyle="Porcentaje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28D657-E9F5-4AD5-9265-452BB2C853D3}" name="Tabla4249" displayName="Tabla4249" ref="B168:P180" totalsRowShown="0" headerRowDxfId="171" dataDxfId="170" tableBorderDxfId="169" dataCellStyle="Porcentaje">
  <autoFilter ref="B168:P180" xr:uid="{8CAC7950-DE02-4224-AF6D-F3EFF954B5F6}"/>
  <tableColumns count="15">
    <tableColumn id="1" xr3:uid="{58934FC4-C725-4656-9464-A451637F62E2}" name="22 D - 2500 € (G.0,9)" dataDxfId="168"/>
    <tableColumn id="2" xr3:uid="{3749D6B5-A43A-479A-8FB4-CFB7AB924A10}" name="100 kms/dia" dataDxfId="167" dataCellStyle="Porcentaje"/>
    <tableColumn id="3" xr3:uid="{CACD7F4F-E604-49CA-A5FA-503CC4E668DC}" name="200 kms/dia" dataDxfId="166" dataCellStyle="Porcentaje"/>
    <tableColumn id="4" xr3:uid="{0DDAE64B-DAC3-4D7A-8E55-2E24967612D7}" name="300 kms/dia" dataDxfId="165" dataCellStyle="Porcentaje"/>
    <tableColumn id="5" xr3:uid="{027A369F-12C2-47E0-A026-B65497A5DA8A}" name="400 kms/dia" dataDxfId="164" dataCellStyle="Porcentaje"/>
    <tableColumn id="6" xr3:uid="{173E78BE-944F-4A40-A928-90F2D7560B65}" name="500 kms/dia" dataDxfId="163" dataCellStyle="Porcentaje"/>
    <tableColumn id="7" xr3:uid="{63949F79-F4E4-4DC6-9CC8-D810A3B2D09D}" name="600 kms/dia" dataDxfId="162" dataCellStyle="Porcentaje"/>
    <tableColumn id="8" xr3:uid="{50C9FDF4-9D15-4371-90A4-8AB8566D4A3D}" name="700 kms/dia" dataDxfId="161" dataCellStyle="Porcentaje"/>
    <tableColumn id="9" xr3:uid="{E0179CA5-2813-4365-806A-AB0F7D5E2B8F}" name="800 kms/dia" dataDxfId="160" dataCellStyle="Porcentaje"/>
    <tableColumn id="10" xr3:uid="{1268A0E9-8C24-458A-93A1-E2F862C0EF4A}" name="900 kms/dia" dataDxfId="159" dataCellStyle="Porcentaje"/>
    <tableColumn id="11" xr3:uid="{A3032A3E-5019-4B2E-B9B8-44FD93BFFF3C}" name="1000 kms/dia" dataDxfId="158" dataCellStyle="Porcentaje"/>
    <tableColumn id="12" xr3:uid="{3C6AB771-20F3-4C5E-87F9-C547877C7376}" name="1100 kms/dia" dataDxfId="157" dataCellStyle="Porcentaje"/>
    <tableColumn id="13" xr3:uid="{92FFFCD5-D6BE-413D-AFD2-32EFDCAE0126}" name="1200 kms/dia" dataDxfId="156" dataCellStyle="Porcentaje"/>
    <tableColumn id="14" xr3:uid="{A62FBF12-A7BA-4131-8136-6E443C89822C}" name="1300 kms/dia" dataDxfId="155" dataCellStyle="Porcentaje"/>
    <tableColumn id="15" xr3:uid="{05D16477-C357-49EC-94F7-884E65F3558A}" name="1400 kms/dia" dataDxfId="154" dataCellStyle="Porcentaj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59841FD-40E1-405C-86C3-68CADB19E726}" name="Tabla462510" displayName="Tabla462510" ref="B184:P196" totalsRowShown="0" headerRowDxfId="153" dataDxfId="152" tableBorderDxfId="151" dataCellStyle="Porcentaje">
  <autoFilter ref="B184:P196" xr:uid="{82D5865C-4B03-4CB4-A13C-F02272DB4862}"/>
  <tableColumns count="15">
    <tableColumn id="1" xr3:uid="{F35CDB70-1749-4DDA-AB92-7C67B31A3EF0}" name="22 D - 2.500 € (G.1)" dataDxfId="150"/>
    <tableColumn id="2" xr3:uid="{DFFAECBA-7302-40B8-84BD-1887EF1D93F9}" name="100 kms/dia" dataDxfId="149" dataCellStyle="Porcentaje">
      <calculatedColumnFormula>C135/C$15-1</calculatedColumnFormula>
    </tableColumn>
    <tableColumn id="3" xr3:uid="{D307222C-6109-43B3-9385-B231B6ED8964}" name="200 kms/dia" dataDxfId="148" dataCellStyle="Porcentaje">
      <calculatedColumnFormula>D135/D$15-1</calculatedColumnFormula>
    </tableColumn>
    <tableColumn id="4" xr3:uid="{9E741A7E-B92A-4653-B1FA-740E741FAB1F}" name="300 kms/dia" dataDxfId="147" dataCellStyle="Porcentaje">
      <calculatedColumnFormula>E135/E$15-1</calculatedColumnFormula>
    </tableColumn>
    <tableColumn id="5" xr3:uid="{1CCD9291-DA72-4DE1-A378-4CCCD545BDB3}" name="400 kms/dia" dataDxfId="146" dataCellStyle="Porcentaje">
      <calculatedColumnFormula>F135/F$15-1</calculatedColumnFormula>
    </tableColumn>
    <tableColumn id="6" xr3:uid="{3B99F692-B4DA-4D0F-B5EE-22C5AF48020A}" name="500 kms/dia" dataDxfId="145" dataCellStyle="Porcentaje">
      <calculatedColumnFormula>G135/G$15-1</calculatedColumnFormula>
    </tableColumn>
    <tableColumn id="7" xr3:uid="{8553FBC9-0C65-45D7-9CE8-EF6FA31ED2AF}" name="600 kms/dia" dataDxfId="144" dataCellStyle="Porcentaje">
      <calculatedColumnFormula>H135/H$15-1</calculatedColumnFormula>
    </tableColumn>
    <tableColumn id="8" xr3:uid="{F3206774-D930-40E4-82F0-4FC9A8431226}" name="700 kms/dia" dataDxfId="143" dataCellStyle="Porcentaje">
      <calculatedColumnFormula>I135/I$15-1</calculatedColumnFormula>
    </tableColumn>
    <tableColumn id="9" xr3:uid="{3E287518-AAEA-4A9C-A755-41D3F0BBAB84}" name="800 kms/dia" dataDxfId="142" dataCellStyle="Porcentaje">
      <calculatedColumnFormula>J135/J$15-1</calculatedColumnFormula>
    </tableColumn>
    <tableColumn id="10" xr3:uid="{2A3EBB6D-4DE4-40FB-B6DF-F039CB8971F3}" name="900 kms/dia" dataDxfId="141" dataCellStyle="Porcentaje">
      <calculatedColumnFormula>K135/K$15-1</calculatedColumnFormula>
    </tableColumn>
    <tableColumn id="11" xr3:uid="{DA626026-4AD9-4D39-BC2C-98BDE718C618}" name="1000 kms/dia" dataDxfId="140" dataCellStyle="Porcentaje">
      <calculatedColumnFormula>L135/L$15-1</calculatedColumnFormula>
    </tableColumn>
    <tableColumn id="12" xr3:uid="{1963FD0C-F6E4-4F29-9D6A-C1239F4B8360}" name="1100 kms/dia" dataDxfId="139" dataCellStyle="Porcentaje">
      <calculatedColumnFormula>M135/M$15-1</calculatedColumnFormula>
    </tableColumn>
    <tableColumn id="13" xr3:uid="{844584F2-196D-4C24-96F8-9844679CD90E}" name="1200 kms/dia" dataDxfId="138" dataCellStyle="Porcentaje">
      <calculatedColumnFormula>N135/N$15-1</calculatedColumnFormula>
    </tableColumn>
    <tableColumn id="14" xr3:uid="{44F42CA7-A72F-4224-944E-E3B49F8A8C08}" name="1300 kms/dia" dataDxfId="137" dataCellStyle="Porcentaje">
      <calculatedColumnFormula>O135/O$15-1</calculatedColumnFormula>
    </tableColumn>
    <tableColumn id="15" xr3:uid="{A04211C2-33C6-470F-AEB8-52605B2D1142}" name="1400 kms/dia" dataDxfId="136" dataCellStyle="Porcentaje">
      <calculatedColumnFormula>P135/P$15-1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77FA415-C2EB-4213-B459-424F31E2C5DB}" name="Tabla319711" displayName="Tabla319711" ref="B200:P214" totalsRowShown="0" headerRowDxfId="135" dataDxfId="134" dataCellStyle="20% - Énfasis4">
  <autoFilter ref="B200:P214" xr:uid="{B0C32B7F-6B46-451A-8DBF-DDAB839C9145}"/>
  <tableColumns count="15">
    <tableColumn id="1" xr3:uid="{9ADCBC85-3AEA-4B48-A1A0-2DB8410FE5EE}" name="22 DIAS - 1.500 €"/>
    <tableColumn id="2" xr3:uid="{D2C99BAC-D5FC-4280-A574-429734DF1EAF}" name="100 kms/dia" dataDxfId="133" dataCellStyle="20% - Énfasis4"/>
    <tableColumn id="3" xr3:uid="{96508F22-87BA-49DB-A700-6CB9C256B987}" name="200 kms/dia" dataDxfId="132" dataCellStyle="20% - Énfasis4"/>
    <tableColumn id="4" xr3:uid="{92B7E82D-91C4-45AC-A4B2-0CDB0F92145B}" name="300 kms/dia" dataDxfId="131" dataCellStyle="20% - Énfasis4"/>
    <tableColumn id="5" xr3:uid="{0998C994-4D42-40C5-8CD1-14C13CE05FDF}" name="400 kms/dia" dataDxfId="130" dataCellStyle="20% - Énfasis4"/>
    <tableColumn id="6" xr3:uid="{435B8725-6999-4F62-86C3-7D419A325B94}" name="500 kms/dia" dataDxfId="129" dataCellStyle="20% - Énfasis4"/>
    <tableColumn id="7" xr3:uid="{4F2678CD-3104-4430-8D60-CDAC99B6CA8F}" name="600 kms/dia" dataDxfId="128" dataCellStyle="20% - Énfasis4"/>
    <tableColumn id="8" xr3:uid="{4499E81A-BB0C-470F-AE87-F0C3F22D5A52}" name="700 kms/dia" dataDxfId="127" dataCellStyle="20% - Énfasis4"/>
    <tableColumn id="9" xr3:uid="{1B7E49D3-D1B1-469A-A55C-491EEE6D0860}" name="800 kms/dia" dataDxfId="126" dataCellStyle="20% - Énfasis4"/>
    <tableColumn id="10" xr3:uid="{B5B57820-29B2-478F-9911-6FA0CD366566}" name="900 kms/dia" dataDxfId="125" dataCellStyle="20% - Énfasis4"/>
    <tableColumn id="11" xr3:uid="{8AAA33CF-D8F7-46EB-8EB3-09ED7D57C2F6}" name="1000 kms/dia" dataDxfId="124" dataCellStyle="20% - Énfasis4"/>
    <tableColumn id="12" xr3:uid="{CD5B54D2-4071-44BC-9877-67603A26DEAB}" name="1100 kms/dia" dataDxfId="123" dataCellStyle="20% - Énfasis4"/>
    <tableColumn id="13" xr3:uid="{5FF31E52-3C85-4549-BAD9-633631914691}" name="1200 kms/dia" dataDxfId="122" dataCellStyle="20% - Énfasis4"/>
    <tableColumn id="14" xr3:uid="{517A13E2-AC45-456F-8E0A-CD328EE97A93}" name="1300 kms/dia" dataDxfId="121" dataCellStyle="20% - Énfasis4"/>
    <tableColumn id="15" xr3:uid="{9B7DC7FA-590D-4AFE-80BF-4FB178C88094}" name="1400 kms/dia" dataDxfId="120" dataCellStyle="20% - Énfasis4"/>
  </tableColumns>
  <tableStyleInfo name="TableStyleMedium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195CE29-5042-42F3-A313-D8D25D55590D}" name="Tabla223812" displayName="Tabla223812" ref="B218:P230" totalsRowShown="0" headerRowDxfId="119" dataDxfId="118" dataCellStyle="Porcentaje">
  <autoFilter ref="B218:P230" xr:uid="{BF291DCA-429F-4A47-884A-8EF7E5A5AB21}"/>
  <tableColumns count="15">
    <tableColumn id="1" xr3:uid="{E941BA73-F340-4ECA-849E-BD0140892617}" name="22 D - 1.500 € (G.0,8)"/>
    <tableColumn id="2" xr3:uid="{4016457D-93E1-4BB2-92FB-3365CB3269EF}" name="100 kms/dia" dataDxfId="117" dataCellStyle="Porcentaje"/>
    <tableColumn id="3" xr3:uid="{8AB76DAA-C433-47B4-8086-9CFFCA81AD9B}" name="200 kms/dia" dataDxfId="116" dataCellStyle="Porcentaje"/>
    <tableColumn id="4" xr3:uid="{A58D1731-EE28-42AD-B997-42D000D2695A}" name="300 kms/dia" dataDxfId="115" dataCellStyle="Porcentaje"/>
    <tableColumn id="5" xr3:uid="{82371F10-DD04-476E-AEBF-2291F6BCEA1B}" name="400 kms/dia" dataDxfId="114" dataCellStyle="Porcentaje"/>
    <tableColumn id="6" xr3:uid="{5D2B88B0-4923-455E-910B-FC14E26E843B}" name="500 kms/dia" dataDxfId="113" dataCellStyle="Porcentaje"/>
    <tableColumn id="7" xr3:uid="{2D3D9F34-EE1C-4C89-93D9-BF1D1F5A8966}" name="600 kms/dia" dataDxfId="112" dataCellStyle="Porcentaje"/>
    <tableColumn id="8" xr3:uid="{8C5A35FE-CE79-4731-AA33-B6DF446F6A68}" name="700 kms/dia" dataDxfId="111" dataCellStyle="Porcentaje"/>
    <tableColumn id="9" xr3:uid="{5AE7C375-E74C-4931-A6DC-AEC66A1335F4}" name="800 kms/dia" dataDxfId="110" dataCellStyle="Porcentaje"/>
    <tableColumn id="10" xr3:uid="{408C9B93-A44C-44EF-B661-D000042F8B8A}" name="900 kms/dia" dataDxfId="109" dataCellStyle="Porcentaje"/>
    <tableColumn id="11" xr3:uid="{97411C50-2A9F-4D7A-B1A1-1AA2B90EC5D7}" name="1000 kms/dia" dataDxfId="108" dataCellStyle="Porcentaje"/>
    <tableColumn id="12" xr3:uid="{771925DB-3187-4B86-8B71-4D1690110924}" name="1100 kms/dia" dataDxfId="107" dataCellStyle="Porcentaje"/>
    <tableColumn id="13" xr3:uid="{E199569E-CDA7-4FB8-A990-709888155191}" name="1200 kms/dia" dataDxfId="106" dataCellStyle="Porcentaje"/>
    <tableColumn id="14" xr3:uid="{0078CCBD-1865-42D2-BF4C-205DA098FFF4}" name="1300 kms/dia" dataDxfId="105" dataCellStyle="Porcentaje"/>
    <tableColumn id="15" xr3:uid="{9AE29C0E-8678-4654-B116-456E4D02DB04}" name="1400 kms/dia" dataDxfId="104" dataCellStyle="Porcentaje"/>
  </tableColumns>
  <tableStyleInfo name="TableStyleMedium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6A0B5B2-A2FB-4129-B557-A1E2D4BEEF0B}" name="Tabla424913" displayName="Tabla424913" ref="B234:P246" totalsRowShown="0" headerRowDxfId="103" dataDxfId="102" tableBorderDxfId="101" dataCellStyle="Porcentaje">
  <autoFilter ref="B234:P246" xr:uid="{A1022F6B-0889-414F-B737-B32D5118EC8B}"/>
  <tableColumns count="15">
    <tableColumn id="1" xr3:uid="{A81FA7EA-CDB5-4157-A08E-A67ACF33A97D}" name="22 D - 1.500 € (G.0,9)" dataDxfId="100"/>
    <tableColumn id="2" xr3:uid="{2065AD52-2AD6-45D8-B8B0-FF0F5FD86CD4}" name="100 kms/dia" dataDxfId="99" dataCellStyle="Porcentaje"/>
    <tableColumn id="3" xr3:uid="{27BFAE45-FED2-40DA-A173-D5456B561A37}" name="200 kms/dia" dataDxfId="98" dataCellStyle="Porcentaje"/>
    <tableColumn id="4" xr3:uid="{16DFA9BF-C4DD-4824-A4F3-2C269FADF0B1}" name="300 kms/dia" dataDxfId="97" dataCellStyle="Porcentaje"/>
    <tableColumn id="5" xr3:uid="{B2B25708-692D-43F0-8AB1-E78023EF4366}" name="400 kms/dia" dataDxfId="96" dataCellStyle="Porcentaje"/>
    <tableColumn id="6" xr3:uid="{D77F5984-B46D-4697-BF08-6ADD77965BE1}" name="500 kms/dia" dataDxfId="95" dataCellStyle="Porcentaje"/>
    <tableColumn id="7" xr3:uid="{DC72AF2F-8405-46F9-B5D7-CAA40E0F3096}" name="600 kms/dia" dataDxfId="94" dataCellStyle="Porcentaje"/>
    <tableColumn id="8" xr3:uid="{BC1D8053-A188-40D3-B72E-EA1D95BBF6EE}" name="700 kms/dia" dataDxfId="93" dataCellStyle="Porcentaje"/>
    <tableColumn id="9" xr3:uid="{2D93888D-D025-41FC-A1B7-9B5358A1B1F1}" name="800 kms/dia" dataDxfId="92" dataCellStyle="Porcentaje"/>
    <tableColumn id="10" xr3:uid="{88936152-4DAF-4BD7-8DE7-33CE2E9686BF}" name="900 kms/dia" dataDxfId="91" dataCellStyle="Porcentaje"/>
    <tableColumn id="11" xr3:uid="{E359B7A7-503B-48A4-804E-77BA02268DD0}" name="1000 kms/dia" dataDxfId="90" dataCellStyle="Porcentaje"/>
    <tableColumn id="12" xr3:uid="{939FD1F2-5875-477C-BB5C-69909EF0A6C4}" name="1100 kms/dia" dataDxfId="89" dataCellStyle="Porcentaje"/>
    <tableColumn id="13" xr3:uid="{352CF3D7-A54C-40DA-A5B4-1AC41A46E1BC}" name="1200 kms/dia" dataDxfId="88" dataCellStyle="Porcentaje"/>
    <tableColumn id="14" xr3:uid="{965E9D60-4913-4348-A185-2B99AD07CD22}" name="1300 kms/dia" dataDxfId="87" dataCellStyle="Porcentaje"/>
    <tableColumn id="15" xr3:uid="{CB9B07EC-9DA8-4F64-AE05-242EEF20C977}" name="1400 kms/dia" dataDxfId="86" dataCellStyle="Porcentaj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8BC4DE1-6896-4083-9B62-D727A8187DD3}" name="Tabla46251015" displayName="Tabla46251015" ref="B250:P262" totalsRowShown="0" headerRowDxfId="85" dataDxfId="84" tableBorderDxfId="83" dataCellStyle="Porcentaje">
  <autoFilter ref="B250:P262" xr:uid="{2A586611-9F67-4F9B-81F8-7A550B01A107}"/>
  <tableColumns count="15">
    <tableColumn id="1" xr3:uid="{756FF498-0364-4FE0-93F0-82073BA63ABA}" name="22 D - 1.500 € (G.1)" dataDxfId="82"/>
    <tableColumn id="2" xr3:uid="{40448FF5-4941-4B39-81F9-5B16C9EBDFDF}" name="100 kms/dia" dataDxfId="81" dataCellStyle="Porcentaje">
      <calculatedColumnFormula>C201/C$15-1</calculatedColumnFormula>
    </tableColumn>
    <tableColumn id="3" xr3:uid="{622D6B2A-3E43-40D1-A80D-82DFA6384610}" name="200 kms/dia" dataDxfId="80" dataCellStyle="Porcentaje">
      <calculatedColumnFormula>D201/D$15-1</calculatedColumnFormula>
    </tableColumn>
    <tableColumn id="4" xr3:uid="{B0E569B5-9407-4C4A-A71F-9A4CED35D0E6}" name="300 kms/dia" dataDxfId="79" dataCellStyle="Porcentaje">
      <calculatedColumnFormula>E201/E$15-1</calculatedColumnFormula>
    </tableColumn>
    <tableColumn id="5" xr3:uid="{A727BB31-F2F1-42CE-9940-850D4DCF34B7}" name="400 kms/dia" dataDxfId="78" dataCellStyle="Porcentaje">
      <calculatedColumnFormula>F201/F$15-1</calculatedColumnFormula>
    </tableColumn>
    <tableColumn id="6" xr3:uid="{944F0F93-C198-40E4-A863-7C899B303E92}" name="500 kms/dia" dataDxfId="77" dataCellStyle="Porcentaje">
      <calculatedColumnFormula>G201/G$15-1</calculatedColumnFormula>
    </tableColumn>
    <tableColumn id="7" xr3:uid="{BFF99130-1B36-4B11-84A2-AC7F84AD1F8B}" name="600 kms/dia" dataDxfId="76" dataCellStyle="Porcentaje">
      <calculatedColumnFormula>H201/H$15-1</calculatedColumnFormula>
    </tableColumn>
    <tableColumn id="8" xr3:uid="{AA9AE5B4-9ED8-4718-B2CC-62D690023E7C}" name="700 kms/dia" dataDxfId="75" dataCellStyle="Porcentaje">
      <calculatedColumnFormula>I201/I$15-1</calculatedColumnFormula>
    </tableColumn>
    <tableColumn id="9" xr3:uid="{844F3FC1-A122-4EC4-9CC0-D56581963330}" name="800 kms/dia" dataDxfId="74" dataCellStyle="Porcentaje">
      <calculatedColumnFormula>J201/J$15-1</calculatedColumnFormula>
    </tableColumn>
    <tableColumn id="10" xr3:uid="{3080B235-E162-46DB-A016-B76EF63471DD}" name="900 kms/dia" dataDxfId="73" dataCellStyle="Porcentaje">
      <calculatedColumnFormula>K201/K$15-1</calculatedColumnFormula>
    </tableColumn>
    <tableColumn id="11" xr3:uid="{2C1E2D9A-AF05-45BC-9803-7C320487F038}" name="1000 kms/dia" dataDxfId="72" dataCellStyle="Porcentaje">
      <calculatedColumnFormula>L201/L$15-1</calculatedColumnFormula>
    </tableColumn>
    <tableColumn id="12" xr3:uid="{C3111A8B-071E-4044-B4FF-D1C7C21CEA0F}" name="1100 kms/dia" dataDxfId="71" dataCellStyle="Porcentaje">
      <calculatedColumnFormula>M201/M$15-1</calculatedColumnFormula>
    </tableColumn>
    <tableColumn id="13" xr3:uid="{229EA835-65AF-4774-8ACE-EA4A95C02C93}" name="1200 kms/dia" dataDxfId="70" dataCellStyle="Porcentaje">
      <calculatedColumnFormula>N201/N$15-1</calculatedColumnFormula>
    </tableColumn>
    <tableColumn id="14" xr3:uid="{1755E9AE-A4EE-4F96-9352-A779AA94A4D8}" name="1300 kms/dia" dataDxfId="69" dataCellStyle="Porcentaje">
      <calculatedColumnFormula>O201/O$15-1</calculatedColumnFormula>
    </tableColumn>
    <tableColumn id="15" xr3:uid="{F7E955CA-E479-45EC-A554-401DF5254C92}" name="1400 kms/dia" dataDxfId="68" dataCellStyle="Porcentaje">
      <calculatedColumnFormula>P201/P$15-1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26FA00-AA9B-49A9-BBD8-E753B402F232}" name="Tabla216" displayName="Tabla216" ref="R21:AF35" totalsRowShown="0" headerRowDxfId="67" dataDxfId="66" dataCellStyle="Porcentaje">
  <autoFilter ref="R21:AF35" xr:uid="{FFFCB2E6-56E3-4A9B-905F-B89E526739A7}"/>
  <tableColumns count="15">
    <tableColumn id="1" xr3:uid="{DAF7AC50-DF2E-4BD0-B551-35E0D5F1A5AD}" name="22 D - 7.000 € (G.0,8)"/>
    <tableColumn id="2" xr3:uid="{D2ED7C9C-7D09-4137-BECA-0F25F60A1490}" name="100 kms/day" dataDxfId="65" dataCellStyle="Porcentaje"/>
    <tableColumn id="3" xr3:uid="{27828F27-A071-4851-8AE5-F2508DE7D9AB}" name="200 kms/day" dataDxfId="64" dataCellStyle="Porcentaje"/>
    <tableColumn id="4" xr3:uid="{F9CE6401-AE1C-4A96-94FE-DC136E4B7621}" name="300 kms/day" dataDxfId="63" dataCellStyle="Porcentaje"/>
    <tableColumn id="5" xr3:uid="{EDE4E4C4-A8F7-49F8-AF1A-4B93BFF2F4EF}" name="400 kms/day" dataDxfId="62" dataCellStyle="Porcentaje"/>
    <tableColumn id="6" xr3:uid="{697F5383-3946-4F58-AA87-F2A191CF265F}" name="500 kms/day" dataDxfId="61" dataCellStyle="Porcentaje"/>
    <tableColumn id="7" xr3:uid="{FCCC7099-674C-40D1-AD22-E55370958C58}" name="600 kms/day" dataDxfId="60" dataCellStyle="Porcentaje"/>
    <tableColumn id="8" xr3:uid="{66E598EC-F151-4F06-BDC6-873599A6E51A}" name="700 kms/day" dataDxfId="59" dataCellStyle="Porcentaje"/>
    <tableColumn id="9" xr3:uid="{F77CD22B-1449-4E80-92F4-ECD78A3B272F}" name="800 kms/day" dataDxfId="58" dataCellStyle="Porcentaje"/>
    <tableColumn id="10" xr3:uid="{7864902B-4B83-4786-A0EF-95650B6AF848}" name="900 kms/day" dataDxfId="57" dataCellStyle="Porcentaje"/>
    <tableColumn id="11" xr3:uid="{E9BC42AA-ECD4-4838-A7B8-2FDD125946AF}" name="1000 kms/day" dataDxfId="56" dataCellStyle="Porcentaje"/>
    <tableColumn id="12" xr3:uid="{B80B302E-FA36-40FF-8543-0926935A7951}" name="1100 kms/day" dataDxfId="55" dataCellStyle="Porcentaje"/>
    <tableColumn id="13" xr3:uid="{76869EDE-BD58-4DDE-85E8-E549A351515F}" name="1200 kms/day" dataDxfId="54" dataCellStyle="Porcentaje"/>
    <tableColumn id="14" xr3:uid="{2AA64F43-CE8F-421F-87D3-DEF5148DEA9C}" name="1300 kms/day" dataDxfId="53" dataCellStyle="Porcentaje"/>
    <tableColumn id="15" xr3:uid="{5CF14B08-8DBC-4784-97BE-FC7B933214E4}" name="1400 kms/day" dataDxfId="52" dataCellStyle="Porcentaje"/>
  </tableColumns>
  <tableStyleInfo name="TableStyleMedium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6105AED-66CC-42DD-9CE3-67FE45F3B408}" name="Tabla21618" displayName="Tabla21618" ref="R53:AF66" totalsRowShown="0" headerRowDxfId="51" dataDxfId="50" dataCellStyle="Porcentaje">
  <autoFilter ref="R53:AF66" xr:uid="{D928769B-1934-4C63-AFA0-90174B3F7042}"/>
  <tableColumns count="15">
    <tableColumn id="1" xr3:uid="{C087039E-F74C-41D3-990A-F07E5C55DEDE}" name="22 D - 5.000 € (G.0,8)"/>
    <tableColumn id="2" xr3:uid="{70C4E84A-68F3-45B6-8985-06EE7C865DCB}" name="100 kms/dia" dataDxfId="49" dataCellStyle="Porcentaje"/>
    <tableColumn id="3" xr3:uid="{D1548BA8-74F1-4D96-AF1B-5B99BFA17A60}" name="200 kms/dia" dataDxfId="48" dataCellStyle="Porcentaje"/>
    <tableColumn id="4" xr3:uid="{0CEE1368-192F-4638-9D13-A8937CE4C66F}" name="300 kms/dia" dataDxfId="47" dataCellStyle="Porcentaje"/>
    <tableColumn id="5" xr3:uid="{A43248AC-0C33-487B-97C6-7CA67B075F1C}" name="400 kms/dia" dataDxfId="46" dataCellStyle="Porcentaje"/>
    <tableColumn id="6" xr3:uid="{735391D8-7893-4A9E-AF29-C959CCB17A20}" name="500 kms/dia" dataDxfId="45" dataCellStyle="Porcentaje"/>
    <tableColumn id="7" xr3:uid="{F46CA80A-C987-4E96-96F7-97174C1020E8}" name="600 kms/dia" dataDxfId="44" dataCellStyle="Porcentaje"/>
    <tableColumn id="8" xr3:uid="{7B3AB5F2-0B5D-478B-BF79-FC29DCF2F424}" name="700 kms/dia" dataDxfId="43" dataCellStyle="Porcentaje"/>
    <tableColumn id="9" xr3:uid="{1C4B2D1F-CC72-4EA3-99B9-DC8058FB4EEB}" name="800 kms/dia" dataDxfId="42" dataCellStyle="Porcentaje"/>
    <tableColumn id="10" xr3:uid="{2680B8A4-F2EF-4399-B1E4-B7A178A9FDCF}" name="900 kms/dia" dataDxfId="41" dataCellStyle="Porcentaje"/>
    <tableColumn id="11" xr3:uid="{A588C163-2390-4AE0-9731-F2E56672A032}" name="1000 kms/dia" dataDxfId="40" dataCellStyle="Porcentaje"/>
    <tableColumn id="12" xr3:uid="{5CE22813-E3B4-42C9-A90B-5F5BFDF75422}" name="1100 kms/dia" dataDxfId="39" dataCellStyle="Porcentaje"/>
    <tableColumn id="13" xr3:uid="{4E892A4D-C91B-4BCA-83A1-BF04241CED1A}" name="1200 kms/dia" dataDxfId="38" dataCellStyle="Porcentaje"/>
    <tableColumn id="14" xr3:uid="{B6AE9A39-B728-46E9-95E3-47FD5858CFD6}" name="1300 kms/dia" dataDxfId="37" dataCellStyle="Porcentaje"/>
    <tableColumn id="15" xr3:uid="{8D1AA88B-CF5C-41FC-B0E5-41B38B8C6BFA}" name="1400 kms/dia" dataDxfId="36" dataCellStyle="Porcentaje"/>
  </tableColumns>
  <tableStyleInfo name="TableStyleMedium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35C8026-6C27-431D-BD34-849AD71A1FE0}" name="Tabla16" displayName="Tabla16" ref="B3:D9" totalsRowShown="0">
  <autoFilter ref="B3:D9" xr:uid="{735C8026-6C27-431D-BD34-849AD71A1FE0}"/>
  <tableColumns count="3">
    <tableColumn id="1" xr3:uid="{D23C30D5-4A82-44D3-8940-EA5CAC94F3AC}" name="Datos mayo 2021"/>
    <tableColumn id="2" xr3:uid="{2826DB99-63B6-4B54-978E-F598070BCAB8}" name="Kg CO2" dataDxfId="35" dataCellStyle="Millares"/>
    <tableColumn id="3" xr3:uid="{6048EED7-F047-4221-A8DB-21877CA62351}" name="% Evitadas/ Emitidas" dataDxfId="34" dataCellStyle="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18" Type="http://schemas.openxmlformats.org/officeDocument/2006/relationships/table" Target="../tables/table27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17" Type="http://schemas.openxmlformats.org/officeDocument/2006/relationships/table" Target="../tables/table26.xml"/><Relationship Id="rId2" Type="http://schemas.openxmlformats.org/officeDocument/2006/relationships/table" Target="../tables/table11.xml"/><Relationship Id="rId16" Type="http://schemas.openxmlformats.org/officeDocument/2006/relationships/table" Target="../tables/table25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43D35-D67B-4A3F-9958-16690ECEC218}">
  <dimension ref="A1:R66"/>
  <sheetViews>
    <sheetView zoomScale="70" zoomScaleNormal="70" workbookViewId="0">
      <selection activeCell="E64" sqref="E64"/>
    </sheetView>
  </sheetViews>
  <sheetFormatPr baseColWidth="10" defaultRowHeight="15" x14ac:dyDescent="0.25"/>
  <cols>
    <col min="1" max="1" width="30.85546875" customWidth="1"/>
    <col min="2" max="2" width="14" bestFit="1" customWidth="1"/>
    <col min="3" max="3" width="18.28515625" customWidth="1"/>
    <col min="4" max="4" width="25.28515625" bestFit="1" customWidth="1"/>
    <col min="5" max="5" width="21.5703125" bestFit="1" customWidth="1"/>
    <col min="6" max="6" width="18.5703125" bestFit="1" customWidth="1"/>
    <col min="7" max="7" width="13.42578125" bestFit="1" customWidth="1"/>
    <col min="8" max="8" width="16.7109375" bestFit="1" customWidth="1"/>
    <col min="9" max="9" width="15" customWidth="1"/>
    <col min="10" max="10" width="11.42578125" bestFit="1" customWidth="1"/>
    <col min="11" max="11" width="11.5703125" customWidth="1"/>
    <col min="12" max="12" width="10.5703125" bestFit="1" customWidth="1"/>
    <col min="13" max="13" width="17.5703125" customWidth="1"/>
    <col min="14" max="14" width="18.85546875" bestFit="1" customWidth="1"/>
    <col min="15" max="15" width="17.42578125" customWidth="1"/>
    <col min="16" max="16" width="11.140625" customWidth="1"/>
    <col min="17" max="17" width="10" customWidth="1"/>
    <col min="18" max="18" width="10.5703125" hidden="1" customWidth="1"/>
    <col min="19" max="19" width="6.5703125" customWidth="1"/>
    <col min="20" max="20" width="7.140625" bestFit="1" customWidth="1"/>
    <col min="21" max="21" width="5.28515625" customWidth="1"/>
    <col min="22" max="22" width="7.140625" bestFit="1" customWidth="1"/>
    <col min="23" max="23" width="5.42578125" customWidth="1"/>
    <col min="24" max="24" width="6.7109375" bestFit="1" customWidth="1"/>
    <col min="25" max="25" width="5.28515625" customWidth="1"/>
    <col min="26" max="26" width="7" customWidth="1"/>
    <col min="27" max="27" width="6.42578125" bestFit="1" customWidth="1"/>
    <col min="28" max="28" width="5.7109375" bestFit="1" customWidth="1"/>
    <col min="29" max="29" width="5.28515625" bestFit="1" customWidth="1"/>
    <col min="30" max="32" width="5.7109375" bestFit="1" customWidth="1"/>
    <col min="33" max="34" width="5.28515625" bestFit="1" customWidth="1"/>
    <col min="35" max="35" width="5.7109375" bestFit="1" customWidth="1"/>
    <col min="36" max="36" width="5.28515625" bestFit="1" customWidth="1"/>
    <col min="37" max="37" width="5.7109375" bestFit="1" customWidth="1"/>
    <col min="38" max="38" width="12.7109375" bestFit="1" customWidth="1"/>
    <col min="39" max="49" width="5.28515625" bestFit="1" customWidth="1"/>
  </cols>
  <sheetData>
    <row r="1" spans="1:18" x14ac:dyDescent="0.25">
      <c r="A1" s="189" t="s">
        <v>68</v>
      </c>
      <c r="B1" s="140" t="s">
        <v>51</v>
      </c>
      <c r="C1" s="140" t="s">
        <v>52</v>
      </c>
      <c r="D1" s="140" t="s">
        <v>50</v>
      </c>
      <c r="E1" s="140" t="s">
        <v>53</v>
      </c>
      <c r="F1" s="140" t="s">
        <v>200</v>
      </c>
      <c r="G1" s="140" t="s">
        <v>296</v>
      </c>
      <c r="H1" s="140" t="s">
        <v>265</v>
      </c>
      <c r="I1" s="147" t="s">
        <v>293</v>
      </c>
      <c r="K1" s="142" t="s">
        <v>203</v>
      </c>
      <c r="L1" s="147" t="s">
        <v>266</v>
      </c>
      <c r="M1" s="142" t="s">
        <v>269</v>
      </c>
      <c r="R1" s="147" t="s">
        <v>301</v>
      </c>
    </row>
    <row r="2" spans="1:18" x14ac:dyDescent="0.25">
      <c r="A2" s="127" t="s">
        <v>219</v>
      </c>
      <c r="B2" s="145">
        <v>1</v>
      </c>
      <c r="C2" s="123">
        <v>0.28000000000000003</v>
      </c>
      <c r="D2" s="123">
        <f t="shared" ref="D2:D9" si="0">B2*C2</f>
        <v>0.28000000000000003</v>
      </c>
      <c r="E2" s="124">
        <v>2000</v>
      </c>
      <c r="F2" s="123">
        <f>'GASOIL '!E48+E27*K2</f>
        <v>1.4076341818181819</v>
      </c>
      <c r="G2" s="135">
        <f t="shared" ref="G2:G10" si="1">F2*$B$14</f>
        <v>422.29025454545456</v>
      </c>
      <c r="H2" s="125">
        <f t="shared" ref="H2:H11" si="2">F2/$F$2-1</f>
        <v>0</v>
      </c>
      <c r="I2" s="135">
        <f>G2*(1+$B$18)</f>
        <v>506.74830545454546</v>
      </c>
      <c r="K2" s="143">
        <f>C2*P2</f>
        <v>0.69803999999999999</v>
      </c>
      <c r="L2" s="125">
        <f t="shared" ref="L2:L10" si="3">($K$2-K2)/$K$2</f>
        <v>0</v>
      </c>
      <c r="M2" s="143">
        <f t="shared" ref="M2:M11" si="4">$E$27*K2</f>
        <v>0</v>
      </c>
      <c r="O2" s="57" t="s">
        <v>204</v>
      </c>
      <c r="P2" s="60">
        <v>2.4929999999999999</v>
      </c>
      <c r="R2" s="125">
        <f>F2/$F$9-1</f>
        <v>0.55787007319304327</v>
      </c>
    </row>
    <row r="3" spans="1:18" x14ac:dyDescent="0.25">
      <c r="A3" s="126" t="s">
        <v>49</v>
      </c>
      <c r="B3" s="145">
        <v>1.7</v>
      </c>
      <c r="C3" s="123">
        <f>E15/100</f>
        <v>0.26400000000000001</v>
      </c>
      <c r="D3" s="123">
        <f t="shared" si="0"/>
        <v>0.44880000000000003</v>
      </c>
      <c r="E3" s="124">
        <v>2400</v>
      </c>
      <c r="F3" s="123">
        <f>'GAS NATURAL'!E47+E27/1000*K3</f>
        <v>1.6967604848484847</v>
      </c>
      <c r="G3" s="135">
        <f t="shared" si="1"/>
        <v>509.02814545454544</v>
      </c>
      <c r="H3" s="125">
        <f t="shared" si="2"/>
        <v>0.20539875115624895</v>
      </c>
      <c r="I3" s="135">
        <f t="shared" ref="I3:I12" si="5">G3*(1+$B$18)</f>
        <v>610.8337745454545</v>
      </c>
      <c r="K3" s="143">
        <f>P3*C3</f>
        <v>0.71834400000000009</v>
      </c>
      <c r="L3" s="144">
        <f t="shared" si="3"/>
        <v>-2.9087158329035728E-2</v>
      </c>
      <c r="M3" s="143">
        <f t="shared" si="4"/>
        <v>0</v>
      </c>
      <c r="O3" s="57" t="s">
        <v>205</v>
      </c>
      <c r="P3" s="60">
        <v>2.7210000000000001</v>
      </c>
      <c r="R3" s="125">
        <f t="shared" ref="R3:R12" si="6">F3/$F$9-1</f>
        <v>0.87785464069058849</v>
      </c>
    </row>
    <row r="4" spans="1:18" x14ac:dyDescent="0.25">
      <c r="A4" s="121" t="s">
        <v>48</v>
      </c>
      <c r="B4" s="145">
        <v>7</v>
      </c>
      <c r="C4" s="123">
        <f>E16/100</f>
        <v>0.09</v>
      </c>
      <c r="D4" s="123">
        <f t="shared" si="0"/>
        <v>0.63</v>
      </c>
      <c r="E4" s="124">
        <v>6200</v>
      </c>
      <c r="F4" s="123">
        <f>'H2'!E47+E27/1000*K4</f>
        <v>2.4839963636363636</v>
      </c>
      <c r="G4" s="135">
        <f t="shared" si="1"/>
        <v>745.19890909090907</v>
      </c>
      <c r="H4" s="125">
        <f t="shared" si="2"/>
        <v>0.76466044638663844</v>
      </c>
      <c r="I4" s="135">
        <f t="shared" si="5"/>
        <v>894.23869090909091</v>
      </c>
      <c r="K4" s="143">
        <v>0</v>
      </c>
      <c r="L4" s="144">
        <f t="shared" si="3"/>
        <v>1</v>
      </c>
      <c r="M4" s="143">
        <f t="shared" si="4"/>
        <v>0</v>
      </c>
      <c r="R4" s="125">
        <f t="shared" si="6"/>
        <v>1.7491116987732207</v>
      </c>
    </row>
    <row r="5" spans="1:18" x14ac:dyDescent="0.25">
      <c r="A5" s="128" t="s">
        <v>103</v>
      </c>
      <c r="B5" s="145">
        <v>1.8</v>
      </c>
      <c r="C5" s="123">
        <f>C3</f>
        <v>0.26400000000000001</v>
      </c>
      <c r="D5" s="123">
        <f t="shared" si="0"/>
        <v>0.47520000000000001</v>
      </c>
      <c r="E5" s="124">
        <f>E3</f>
        <v>2400</v>
      </c>
      <c r="F5" s="123">
        <f>BIOMETANO!E47+E27/1000*K5</f>
        <v>1.7242694303030306</v>
      </c>
      <c r="G5" s="135">
        <f t="shared" si="1"/>
        <v>517.28082909090915</v>
      </c>
      <c r="H5" s="125">
        <f t="shared" si="2"/>
        <v>0.22494143192506466</v>
      </c>
      <c r="I5" s="135">
        <f t="shared" si="5"/>
        <v>620.73699490909098</v>
      </c>
      <c r="K5" s="143">
        <f>C5*P3*(1-P9*P5)+C3*(1-P9)</f>
        <v>7.1834399999999993E-2</v>
      </c>
      <c r="L5" s="144">
        <f t="shared" si="3"/>
        <v>0.89709128416709649</v>
      </c>
      <c r="M5" s="143">
        <f t="shared" si="4"/>
        <v>0</v>
      </c>
      <c r="O5" s="57" t="s">
        <v>206</v>
      </c>
      <c r="P5" s="148">
        <v>0.9</v>
      </c>
      <c r="R5" s="125">
        <f t="shared" si="6"/>
        <v>0.90829959821029171</v>
      </c>
    </row>
    <row r="6" spans="1:18" x14ac:dyDescent="0.25">
      <c r="A6" s="178" t="s">
        <v>144</v>
      </c>
      <c r="B6" s="122">
        <v>0.23</v>
      </c>
      <c r="C6" s="123">
        <f>E18/100</f>
        <v>1.83</v>
      </c>
      <c r="D6" s="123">
        <f>B6*C6</f>
        <v>0.42090000000000005</v>
      </c>
      <c r="E6" s="124">
        <v>4000</v>
      </c>
      <c r="F6" s="123">
        <f>ELÉCTRICO!G45+E27/1000*K6</f>
        <v>1.919235393939394</v>
      </c>
      <c r="G6" s="135">
        <f t="shared" si="1"/>
        <v>575.77061818181824</v>
      </c>
      <c r="H6" s="125">
        <f t="shared" si="2"/>
        <v>0.36344756239181297</v>
      </c>
      <c r="I6" s="135">
        <f>G6*(1+$B$18)</f>
        <v>690.92474181818181</v>
      </c>
      <c r="K6" s="143">
        <v>0</v>
      </c>
      <c r="L6" s="144">
        <f t="shared" si="3"/>
        <v>1</v>
      </c>
      <c r="M6" s="143">
        <f t="shared" si="4"/>
        <v>0</v>
      </c>
      <c r="O6" s="57" t="s">
        <v>207</v>
      </c>
      <c r="P6" s="148">
        <v>0.9</v>
      </c>
      <c r="R6" s="125">
        <f t="shared" si="6"/>
        <v>1.12407415381821</v>
      </c>
    </row>
    <row r="7" spans="1:18" x14ac:dyDescent="0.25">
      <c r="A7" s="179" t="s">
        <v>198</v>
      </c>
      <c r="B7" s="122">
        <v>1.35</v>
      </c>
      <c r="C7" s="123">
        <f>C2</f>
        <v>0.28000000000000003</v>
      </c>
      <c r="D7" s="123">
        <f t="shared" si="0"/>
        <v>0.37800000000000006</v>
      </c>
      <c r="E7" s="124">
        <f>E2</f>
        <v>2000</v>
      </c>
      <c r="F7" s="123">
        <f>HVO!E48+E27/1000*K7</f>
        <v>1.5095541818181817</v>
      </c>
      <c r="G7" s="135">
        <f t="shared" si="1"/>
        <v>452.86625454545452</v>
      </c>
      <c r="H7" s="125">
        <f t="shared" si="2"/>
        <v>7.2405175518226006E-2</v>
      </c>
      <c r="I7" s="135">
        <f t="shared" si="5"/>
        <v>543.43950545454538</v>
      </c>
      <c r="K7" s="143">
        <f>C7*P2*P8*(1-P6)+C2*P2*(1-P8)</f>
        <v>6.9803999999999977E-2</v>
      </c>
      <c r="L7" s="144">
        <f t="shared" si="3"/>
        <v>0.9</v>
      </c>
      <c r="M7" s="143">
        <f t="shared" si="4"/>
        <v>0</v>
      </c>
      <c r="R7" s="125">
        <f t="shared" si="6"/>
        <v>0.67066792927717689</v>
      </c>
    </row>
    <row r="8" spans="1:18" x14ac:dyDescent="0.25">
      <c r="A8" s="121" t="s">
        <v>113</v>
      </c>
      <c r="B8" s="123">
        <f>B4</f>
        <v>7</v>
      </c>
      <c r="C8" s="123">
        <f>C4*2*(1-E20)</f>
        <v>0.126</v>
      </c>
      <c r="D8" s="123">
        <f>B8*C8</f>
        <v>0.88200000000000001</v>
      </c>
      <c r="E8" s="124">
        <f>E4</f>
        <v>6200</v>
      </c>
      <c r="F8" s="123">
        <f>'DUOTRAILER H2'!E48/2+E27*K8</f>
        <v>1.4735147878787878</v>
      </c>
      <c r="G8" s="135">
        <f t="shared" si="1"/>
        <v>442.05443636363634</v>
      </c>
      <c r="H8" s="125">
        <f>F8/$F$2-1</f>
        <v>4.6802363079525788E-2</v>
      </c>
      <c r="I8" s="135">
        <f t="shared" si="5"/>
        <v>530.46532363636356</v>
      </c>
      <c r="K8" s="143">
        <v>0</v>
      </c>
      <c r="L8" s="144">
        <f t="shared" si="3"/>
        <v>1</v>
      </c>
      <c r="M8" s="143">
        <f t="shared" si="4"/>
        <v>0</v>
      </c>
      <c r="O8" s="57" t="s">
        <v>201</v>
      </c>
      <c r="P8" s="148">
        <v>1</v>
      </c>
      <c r="R8" s="125">
        <f t="shared" si="6"/>
        <v>0.63078207398935149</v>
      </c>
    </row>
    <row r="9" spans="1:18" x14ac:dyDescent="0.25">
      <c r="A9" s="130" t="s">
        <v>141</v>
      </c>
      <c r="B9" s="123">
        <f>B2</f>
        <v>1</v>
      </c>
      <c r="C9" s="123">
        <f>C2*2*(1-E20)</f>
        <v>0.39200000000000002</v>
      </c>
      <c r="D9" s="123">
        <f t="shared" si="0"/>
        <v>0.39200000000000002</v>
      </c>
      <c r="E9" s="124">
        <v>2200</v>
      </c>
      <c r="F9" s="123">
        <f>'DUOTRAILER GASOIL'!E48/2+E27/1000*K9</f>
        <v>0.90356327272727266</v>
      </c>
      <c r="G9" s="135">
        <f t="shared" si="1"/>
        <v>271.06898181818178</v>
      </c>
      <c r="H9" s="125">
        <f>F9/$F$2-1</f>
        <v>-0.35809794590226707</v>
      </c>
      <c r="I9" s="135">
        <f t="shared" si="5"/>
        <v>325.28277818181812</v>
      </c>
      <c r="K9" s="143">
        <f>C9*P2/2</f>
        <v>0.48862800000000001</v>
      </c>
      <c r="L9" s="144">
        <f t="shared" si="3"/>
        <v>0.3</v>
      </c>
      <c r="M9" s="143">
        <f t="shared" si="4"/>
        <v>0</v>
      </c>
      <c r="O9" s="57" t="s">
        <v>202</v>
      </c>
      <c r="P9" s="148">
        <v>1</v>
      </c>
      <c r="R9" s="125">
        <f t="shared" si="6"/>
        <v>0</v>
      </c>
    </row>
    <row r="10" spans="1:18" x14ac:dyDescent="0.25">
      <c r="A10" s="131" t="s">
        <v>143</v>
      </c>
      <c r="B10" s="123">
        <f>B5</f>
        <v>1.8</v>
      </c>
      <c r="C10" s="123">
        <f>C5*2*(1-E20)</f>
        <v>0.36959999999999998</v>
      </c>
      <c r="D10" s="132">
        <f>B10*C10</f>
        <v>0.66527999999999998</v>
      </c>
      <c r="E10" s="190">
        <f>E5</f>
        <v>2400</v>
      </c>
      <c r="F10" s="132">
        <f>'DUOTRAILER BIOMETANO'!E48/2+E27/1000*K10</f>
        <v>1.0614264484848484</v>
      </c>
      <c r="G10" s="135">
        <f t="shared" si="1"/>
        <v>318.42793454545449</v>
      </c>
      <c r="H10" s="125">
        <f>F10/$F$2-1</f>
        <v>-0.24595007552754333</v>
      </c>
      <c r="I10" s="135">
        <f t="shared" si="5"/>
        <v>382.11352145454538</v>
      </c>
      <c r="K10" s="143">
        <f>K5*0.7</f>
        <v>5.0284079999999995E-2</v>
      </c>
      <c r="L10" s="144">
        <f t="shared" si="3"/>
        <v>0.92796389891696762</v>
      </c>
      <c r="M10" s="143">
        <f t="shared" si="4"/>
        <v>0</v>
      </c>
      <c r="O10" s="57" t="s">
        <v>217</v>
      </c>
      <c r="P10" s="148">
        <v>1</v>
      </c>
      <c r="R10" s="125">
        <f t="shared" si="6"/>
        <v>0.17471181102911459</v>
      </c>
    </row>
    <row r="11" spans="1:18" x14ac:dyDescent="0.25">
      <c r="A11" s="138" t="s">
        <v>199</v>
      </c>
      <c r="B11" s="123">
        <f>B7</f>
        <v>1.35</v>
      </c>
      <c r="C11" s="123">
        <v>0.41</v>
      </c>
      <c r="D11" s="132">
        <f>B11*C11</f>
        <v>0.55349999999999999</v>
      </c>
      <c r="E11" s="124">
        <f>E9</f>
        <v>2200</v>
      </c>
      <c r="F11" s="123">
        <f>'DUOTRAILER HVO'!E48/2+E27/1000*K11</f>
        <v>0.98754327272727271</v>
      </c>
      <c r="G11" s="135">
        <f>F11*$B$14</f>
        <v>296.2629818181818</v>
      </c>
      <c r="H11" s="125">
        <f t="shared" si="2"/>
        <v>-0.29843755893189194</v>
      </c>
      <c r="I11" s="135">
        <f t="shared" si="5"/>
        <v>355.51557818181817</v>
      </c>
      <c r="K11" s="143">
        <f>C11*0.174</f>
        <v>7.1339999999999987E-2</v>
      </c>
      <c r="L11" s="144">
        <f>($K$2-K11)/$K$2</f>
        <v>0.89779955303421011</v>
      </c>
      <c r="M11" s="143">
        <f t="shared" si="4"/>
        <v>0</v>
      </c>
      <c r="R11" s="125">
        <f t="shared" si="6"/>
        <v>9.2943131416263425E-2</v>
      </c>
    </row>
    <row r="12" spans="1:18" x14ac:dyDescent="0.25">
      <c r="A12" s="129" t="s">
        <v>220</v>
      </c>
      <c r="B12" s="123">
        <f>B6</f>
        <v>0.23</v>
      </c>
      <c r="C12" s="123">
        <f>C6*(1-E20)</f>
        <v>1.2809999999999999</v>
      </c>
      <c r="D12" s="123">
        <f>B12*C12</f>
        <v>0.29463</v>
      </c>
      <c r="E12" s="124">
        <f>E6</f>
        <v>4000</v>
      </c>
      <c r="F12" s="123">
        <f>'DUOTRAILER ELECTRICO'!E48/2+E27/1000*K12</f>
        <v>0.99474905454545448</v>
      </c>
      <c r="G12" s="135">
        <f>B14*F12</f>
        <v>298.42471636363632</v>
      </c>
      <c r="H12" s="125">
        <f>F12/$F$2-1</f>
        <v>-0.29331848615626899</v>
      </c>
      <c r="I12" s="135">
        <f t="shared" si="5"/>
        <v>358.10965963636357</v>
      </c>
      <c r="K12" s="143">
        <f>K6</f>
        <v>0</v>
      </c>
      <c r="L12" s="144">
        <f t="shared" ref="L12:M12" si="7">L6</f>
        <v>1</v>
      </c>
      <c r="M12" s="143">
        <f t="shared" si="7"/>
        <v>0</v>
      </c>
      <c r="R12" s="125">
        <f t="shared" si="6"/>
        <v>0.10091798169590382</v>
      </c>
    </row>
    <row r="14" spans="1:18" x14ac:dyDescent="0.25">
      <c r="A14" s="57" t="s">
        <v>244</v>
      </c>
      <c r="B14" s="60">
        <v>300</v>
      </c>
      <c r="C14" s="59" t="s">
        <v>69</v>
      </c>
      <c r="D14" s="57" t="s">
        <v>276</v>
      </c>
      <c r="E14" s="60">
        <v>31</v>
      </c>
      <c r="L14" s="55"/>
      <c r="M14" s="52"/>
    </row>
    <row r="15" spans="1:18" x14ac:dyDescent="0.25">
      <c r="A15" s="57" t="s">
        <v>54</v>
      </c>
      <c r="B15" s="60">
        <v>22</v>
      </c>
      <c r="C15" s="139" t="s">
        <v>70</v>
      </c>
      <c r="D15" s="57" t="s">
        <v>275</v>
      </c>
      <c r="E15" s="60">
        <v>26.4</v>
      </c>
      <c r="H15" s="103"/>
    </row>
    <row r="16" spans="1:18" x14ac:dyDescent="0.25">
      <c r="A16" s="57" t="s">
        <v>270</v>
      </c>
      <c r="B16" s="58" cm="1">
        <f t="array" ref="B16">_xlfn.IFS(B14&lt;700,1,B14=700,1,B14&gt;700,2)</f>
        <v>1</v>
      </c>
      <c r="C16" s="54" t="s">
        <v>283</v>
      </c>
      <c r="D16" s="57" t="s">
        <v>274</v>
      </c>
      <c r="E16" s="60">
        <v>9</v>
      </c>
      <c r="H16" s="191"/>
    </row>
    <row r="17" spans="1:11" x14ac:dyDescent="0.25">
      <c r="A17" s="57" t="s">
        <v>288</v>
      </c>
      <c r="B17" s="184">
        <v>3048</v>
      </c>
      <c r="C17" s="54" t="s">
        <v>285</v>
      </c>
      <c r="D17" s="57" t="s">
        <v>273</v>
      </c>
      <c r="E17" s="60">
        <v>26.4</v>
      </c>
      <c r="F17" s="55"/>
      <c r="I17" s="63"/>
      <c r="K17" s="54"/>
    </row>
    <row r="18" spans="1:11" x14ac:dyDescent="0.25">
      <c r="A18" s="57" t="s">
        <v>294</v>
      </c>
      <c r="B18" s="148">
        <v>0.2</v>
      </c>
      <c r="D18" s="57" t="s">
        <v>271</v>
      </c>
      <c r="E18" s="60">
        <f>183</f>
        <v>183</v>
      </c>
      <c r="K18" s="54"/>
    </row>
    <row r="19" spans="1:11" x14ac:dyDescent="0.25">
      <c r="A19" s="185" t="s">
        <v>284</v>
      </c>
      <c r="B19" s="1" t="s">
        <v>278</v>
      </c>
      <c r="C19" s="1" t="s">
        <v>279</v>
      </c>
      <c r="D19" s="57" t="s">
        <v>272</v>
      </c>
      <c r="E19" s="183">
        <f>E14*1.02</f>
        <v>31.62</v>
      </c>
      <c r="K19" s="159"/>
    </row>
    <row r="20" spans="1:11" x14ac:dyDescent="0.25">
      <c r="A20" s="57" t="s">
        <v>277</v>
      </c>
      <c r="B20" s="60">
        <v>450</v>
      </c>
      <c r="C20" s="60">
        <v>200</v>
      </c>
      <c r="D20" s="57" t="s">
        <v>289</v>
      </c>
      <c r="E20" s="148">
        <v>0.3</v>
      </c>
    </row>
    <row r="21" spans="1:11" x14ac:dyDescent="0.25">
      <c r="A21" s="169" t="s">
        <v>235</v>
      </c>
      <c r="B21" s="169"/>
      <c r="D21" s="185" t="s">
        <v>282</v>
      </c>
      <c r="E21" s="1" t="s">
        <v>280</v>
      </c>
      <c r="F21" s="1" t="s">
        <v>281</v>
      </c>
      <c r="I21" s="165"/>
      <c r="J21" s="163"/>
    </row>
    <row r="22" spans="1:11" x14ac:dyDescent="0.25">
      <c r="A22" s="57" t="s">
        <v>305</v>
      </c>
      <c r="B22" s="60">
        <v>50</v>
      </c>
      <c r="D22" s="57" t="s">
        <v>218</v>
      </c>
      <c r="E22" s="60">
        <v>6</v>
      </c>
      <c r="F22" s="60">
        <v>1</v>
      </c>
    </row>
    <row r="23" spans="1:11" x14ac:dyDescent="0.25">
      <c r="A23" s="57" t="s">
        <v>245</v>
      </c>
      <c r="B23" s="60">
        <v>500</v>
      </c>
      <c r="D23" s="185" t="s">
        <v>292</v>
      </c>
      <c r="E23" s="1" t="s">
        <v>290</v>
      </c>
      <c r="F23" s="1" t="s">
        <v>291</v>
      </c>
      <c r="G23" s="54"/>
    </row>
    <row r="24" spans="1:11" x14ac:dyDescent="0.25">
      <c r="A24" s="57" t="s">
        <v>246</v>
      </c>
      <c r="B24" s="60">
        <v>10</v>
      </c>
      <c r="D24" s="57" t="s">
        <v>286</v>
      </c>
      <c r="E24" s="60">
        <v>0</v>
      </c>
      <c r="F24" s="60">
        <v>0</v>
      </c>
    </row>
    <row r="25" spans="1:11" x14ac:dyDescent="0.25">
      <c r="A25" s="57" t="s">
        <v>243</v>
      </c>
      <c r="B25" s="60">
        <v>600</v>
      </c>
      <c r="D25" s="57" t="s">
        <v>287</v>
      </c>
      <c r="E25" s="60">
        <v>0.26</v>
      </c>
      <c r="F25" s="60">
        <f>E25*1.5</f>
        <v>0.39</v>
      </c>
      <c r="G25" s="160"/>
      <c r="H25" s="104"/>
      <c r="I25" s="104"/>
    </row>
    <row r="26" spans="1:11" x14ac:dyDescent="0.25">
      <c r="A26" s="57" t="s">
        <v>241</v>
      </c>
      <c r="B26" s="60">
        <v>1</v>
      </c>
      <c r="D26" s="57" t="s">
        <v>297</v>
      </c>
      <c r="E26" s="148">
        <v>0.05</v>
      </c>
      <c r="F26" t="s">
        <v>298</v>
      </c>
      <c r="H26" s="166"/>
      <c r="I26" s="166"/>
      <c r="J26" s="54"/>
    </row>
    <row r="27" spans="1:11" x14ac:dyDescent="0.25">
      <c r="A27" s="57" t="s">
        <v>242</v>
      </c>
      <c r="B27" s="148">
        <v>0.12</v>
      </c>
      <c r="D27" s="57" t="s">
        <v>302</v>
      </c>
      <c r="E27" s="60">
        <v>0</v>
      </c>
      <c r="G27" s="160"/>
      <c r="H27" s="166"/>
      <c r="I27" s="166"/>
      <c r="J27" s="54"/>
    </row>
    <row r="28" spans="1:11" x14ac:dyDescent="0.25">
      <c r="A28" s="176" t="s">
        <v>262</v>
      </c>
      <c r="C28" s="166"/>
      <c r="D28" s="166"/>
      <c r="E28" s="54"/>
    </row>
    <row r="29" spans="1:11" ht="15.75" customHeight="1" x14ac:dyDescent="0.25">
      <c r="A29" s="170" t="s">
        <v>219</v>
      </c>
      <c r="B29" s="174" t="s">
        <v>230</v>
      </c>
      <c r="C29" s="57" t="s">
        <v>236</v>
      </c>
      <c r="D29" s="170" t="s">
        <v>234</v>
      </c>
      <c r="E29" s="57" t="s">
        <v>240</v>
      </c>
      <c r="F29" s="57" t="s">
        <v>303</v>
      </c>
      <c r="G29" s="173" t="s">
        <v>233</v>
      </c>
      <c r="H29" s="57" t="s">
        <v>304</v>
      </c>
      <c r="I29" s="187" t="s">
        <v>232</v>
      </c>
    </row>
    <row r="30" spans="1:11" ht="15.75" customHeight="1" x14ac:dyDescent="0.25">
      <c r="A30" s="104" t="s">
        <v>239</v>
      </c>
      <c r="B30" s="188">
        <f>B25</f>
        <v>600</v>
      </c>
      <c r="C30" s="188">
        <f>(B23/B24+B22)*B26</f>
        <v>100</v>
      </c>
      <c r="D30" s="188">
        <f>B30*F9</f>
        <v>542.13796363636357</v>
      </c>
      <c r="E30" s="188">
        <f>C30+D30</f>
        <v>642.13796363636357</v>
      </c>
      <c r="F30" s="188">
        <f>B30*F2</f>
        <v>844.58050909090912</v>
      </c>
      <c r="G30" s="175">
        <f>E30/I30-1</f>
        <v>-0.32115711721834872</v>
      </c>
      <c r="H30" s="148">
        <f>E30/F30-1</f>
        <v>-0.23969597128455045</v>
      </c>
      <c r="I30" s="186">
        <f>F2*B25*(1+B27)</f>
        <v>945.93017018181831</v>
      </c>
    </row>
    <row r="31" spans="1:11" x14ac:dyDescent="0.25">
      <c r="A31" s="180" t="s">
        <v>198</v>
      </c>
      <c r="B31" s="174" t="s">
        <v>230</v>
      </c>
      <c r="C31" s="172" t="s">
        <v>237</v>
      </c>
      <c r="D31" s="180" t="s">
        <v>231</v>
      </c>
      <c r="E31" s="57" t="s">
        <v>240</v>
      </c>
      <c r="F31" s="57" t="s">
        <v>303</v>
      </c>
      <c r="G31" s="173" t="s">
        <v>233</v>
      </c>
      <c r="H31" s="57" t="s">
        <v>304</v>
      </c>
      <c r="I31" s="187" t="s">
        <v>232</v>
      </c>
    </row>
    <row r="32" spans="1:11" x14ac:dyDescent="0.25">
      <c r="A32" s="104" t="s">
        <v>239</v>
      </c>
      <c r="B32" s="188">
        <f>B25</f>
        <v>600</v>
      </c>
      <c r="C32" s="188">
        <f>(B23/B24+B22)*B26</f>
        <v>100</v>
      </c>
      <c r="D32" s="188">
        <f>F11*B32</f>
        <v>592.5259636363636</v>
      </c>
      <c r="E32" s="188">
        <f>C32+D32</f>
        <v>692.5259636363636</v>
      </c>
      <c r="F32" s="188">
        <f>F30</f>
        <v>844.58050909090912</v>
      </c>
      <c r="G32" s="134">
        <f>E32/I32-1</f>
        <v>-0.2678889145662281</v>
      </c>
      <c r="H32" s="148">
        <f>E32/F32-1</f>
        <v>-0.18003558431417532</v>
      </c>
      <c r="I32" s="186">
        <f>F2*B25*(1+B27)</f>
        <v>945.93017018181831</v>
      </c>
    </row>
    <row r="33" spans="1:13" x14ac:dyDescent="0.25">
      <c r="A33" s="171" t="s">
        <v>48</v>
      </c>
      <c r="B33" s="174" t="s">
        <v>230</v>
      </c>
      <c r="C33" s="172" t="s">
        <v>236</v>
      </c>
      <c r="D33" s="171" t="s">
        <v>238</v>
      </c>
      <c r="E33" s="57" t="s">
        <v>240</v>
      </c>
      <c r="F33" s="57" t="s">
        <v>303</v>
      </c>
      <c r="G33" s="173" t="s">
        <v>233</v>
      </c>
      <c r="H33" s="57" t="s">
        <v>304</v>
      </c>
      <c r="I33" s="187" t="s">
        <v>232</v>
      </c>
    </row>
    <row r="34" spans="1:13" x14ac:dyDescent="0.25">
      <c r="A34" s="104" t="s">
        <v>239</v>
      </c>
      <c r="B34" s="188">
        <f>B25</f>
        <v>600</v>
      </c>
      <c r="C34" s="188">
        <f>(B23/B24+B22)*B26</f>
        <v>100</v>
      </c>
      <c r="D34" s="188">
        <f>F8*B34</f>
        <v>884.10887272727268</v>
      </c>
      <c r="E34" s="188">
        <f>C34+D34</f>
        <v>984.10887272727268</v>
      </c>
      <c r="F34" s="188">
        <f>F30</f>
        <v>844.58050909090912</v>
      </c>
      <c r="G34" s="134">
        <f>E34/I34-1</f>
        <v>4.0361015801109401E-2</v>
      </c>
      <c r="H34" s="148">
        <f>E34/F34-1</f>
        <v>0.16520433769724252</v>
      </c>
      <c r="I34" s="186">
        <f>B25*F2*(1+B27)</f>
        <v>945.93017018181831</v>
      </c>
    </row>
    <row r="35" spans="1:13" x14ac:dyDescent="0.25">
      <c r="A35" s="2" t="s">
        <v>247</v>
      </c>
    </row>
    <row r="36" spans="1:13" x14ac:dyDescent="0.25">
      <c r="A36" s="54" t="s">
        <v>267</v>
      </c>
      <c r="B36" s="54" t="s">
        <v>251</v>
      </c>
      <c r="C36" s="54" t="s">
        <v>252</v>
      </c>
      <c r="D36" s="54" t="s">
        <v>253</v>
      </c>
      <c r="E36" s="54" t="s">
        <v>254</v>
      </c>
      <c r="F36" s="54" t="s">
        <v>255</v>
      </c>
      <c r="G36" s="54" t="s">
        <v>256</v>
      </c>
      <c r="H36" s="54" t="s">
        <v>257</v>
      </c>
      <c r="I36" s="54" t="s">
        <v>264</v>
      </c>
      <c r="J36" s="54" t="s">
        <v>258</v>
      </c>
      <c r="K36" s="54" t="s">
        <v>259</v>
      </c>
      <c r="L36" s="54" t="s">
        <v>260</v>
      </c>
      <c r="M36" s="54" t="s">
        <v>261</v>
      </c>
    </row>
    <row r="37" spans="1:13" x14ac:dyDescent="0.25">
      <c r="A37" s="127" t="s">
        <v>248</v>
      </c>
      <c r="B37" s="182">
        <f t="shared" ref="B37:M37" si="8">B61/B61-1</f>
        <v>0</v>
      </c>
      <c r="C37" s="182">
        <f t="shared" si="8"/>
        <v>0</v>
      </c>
      <c r="D37" s="182">
        <f t="shared" si="8"/>
        <v>0</v>
      </c>
      <c r="E37" s="182">
        <f t="shared" si="8"/>
        <v>0</v>
      </c>
      <c r="F37" s="182">
        <f t="shared" si="8"/>
        <v>0</v>
      </c>
      <c r="G37" s="182">
        <f t="shared" si="8"/>
        <v>0</v>
      </c>
      <c r="H37" s="182">
        <f t="shared" si="8"/>
        <v>0</v>
      </c>
      <c r="I37" s="182">
        <f t="shared" si="8"/>
        <v>0</v>
      </c>
      <c r="J37" s="182">
        <f t="shared" si="8"/>
        <v>0</v>
      </c>
      <c r="K37" s="182">
        <f t="shared" si="8"/>
        <v>0</v>
      </c>
      <c r="L37" s="182">
        <f t="shared" si="8"/>
        <v>0</v>
      </c>
      <c r="M37" s="182">
        <f t="shared" si="8"/>
        <v>0</v>
      </c>
    </row>
    <row r="38" spans="1:13" x14ac:dyDescent="0.25">
      <c r="A38" s="181" t="s">
        <v>198</v>
      </c>
      <c r="B38" s="182">
        <f>B62/B61-1</f>
        <v>2.8321381187723649E-2</v>
      </c>
      <c r="C38" s="182">
        <f t="shared" ref="C38:M38" si="9">C62/C61-1</f>
        <v>5.2109875460967459E-2</v>
      </c>
      <c r="D38" s="182">
        <f t="shared" si="9"/>
        <v>7.2373092743841294E-2</v>
      </c>
      <c r="E38" s="182">
        <f t="shared" si="9"/>
        <v>8.984060408734984E-2</v>
      </c>
      <c r="F38" s="182">
        <f t="shared" si="9"/>
        <v>0.10505365502610586</v>
      </c>
      <c r="G38" s="182">
        <f t="shared" si="9"/>
        <v>0.11842224790168965</v>
      </c>
      <c r="H38" s="182">
        <f t="shared" si="9"/>
        <v>0.13026264858178815</v>
      </c>
      <c r="I38" s="182">
        <f t="shared" si="9"/>
        <v>0.11276133615424411</v>
      </c>
      <c r="J38" s="182">
        <f t="shared" si="9"/>
        <v>0.12159248499326858</v>
      </c>
      <c r="K38" s="182">
        <f t="shared" si="9"/>
        <v>0.12971992289375223</v>
      </c>
      <c r="L38" s="182">
        <f t="shared" si="9"/>
        <v>0.13722453990023786</v>
      </c>
      <c r="M38" s="182">
        <f t="shared" si="9"/>
        <v>0.14417528603707019</v>
      </c>
    </row>
    <row r="39" spans="1:13" x14ac:dyDescent="0.25">
      <c r="A39" s="121" t="s">
        <v>48</v>
      </c>
      <c r="B39" s="182">
        <f>B63/B61-1</f>
        <v>0.67532569891506089</v>
      </c>
      <c r="C39" s="182">
        <f t="shared" ref="C39:M39" si="10">C63/C61-1</f>
        <v>0.71433551449391919</v>
      </c>
      <c r="D39" s="182">
        <f t="shared" si="10"/>
        <v>0.74756436707112073</v>
      </c>
      <c r="E39" s="182">
        <f t="shared" si="10"/>
        <v>0.77620865150144303</v>
      </c>
      <c r="F39" s="182">
        <f t="shared" si="10"/>
        <v>0.80115593503675053</v>
      </c>
      <c r="G39" s="182">
        <f t="shared" si="10"/>
        <v>0.82307856438164007</v>
      </c>
      <c r="H39" s="182">
        <f t="shared" si="10"/>
        <v>0.84249517148610642</v>
      </c>
      <c r="I39" s="182">
        <f t="shared" si="10"/>
        <v>0.68847960983322465</v>
      </c>
      <c r="J39" s="182">
        <f t="shared" si="10"/>
        <v>0.70816155066425845</v>
      </c>
      <c r="K39" s="182">
        <f t="shared" si="10"/>
        <v>0.72627513416070633</v>
      </c>
      <c r="L39" s="182">
        <f t="shared" si="10"/>
        <v>0.74300063959308194</v>
      </c>
      <c r="M39" s="182">
        <f t="shared" si="10"/>
        <v>0.75849173556376015</v>
      </c>
    </row>
    <row r="40" spans="1:13" x14ac:dyDescent="0.25">
      <c r="A40" s="178" t="s">
        <v>263</v>
      </c>
      <c r="B40" s="182">
        <f t="shared" ref="B40:M40" si="11">B64/B61-1</f>
        <v>0.32537799060467365</v>
      </c>
      <c r="C40" s="182">
        <f t="shared" si="11"/>
        <v>0.33679995017323194</v>
      </c>
      <c r="D40" s="182">
        <f t="shared" si="11"/>
        <v>0.34652926073300971</v>
      </c>
      <c r="E40" s="182">
        <f t="shared" si="11"/>
        <v>0.35491622318793392</v>
      </c>
      <c r="F40" s="182">
        <f t="shared" si="11"/>
        <v>0.36222071462572658</v>
      </c>
      <c r="G40" s="182">
        <f t="shared" si="11"/>
        <v>0.36863959618920439</v>
      </c>
      <c r="H40" s="182">
        <f t="shared" si="11"/>
        <v>0.37432472179195142</v>
      </c>
      <c r="I40" s="182">
        <f t="shared" si="11"/>
        <v>0.30379399773596227</v>
      </c>
      <c r="J40" s="182">
        <f t="shared" si="11"/>
        <v>0.31061227657407398</v>
      </c>
      <c r="K40" s="182">
        <f t="shared" si="11"/>
        <v>0.31688724021188053</v>
      </c>
      <c r="L40" s="182">
        <f t="shared" si="11"/>
        <v>0.32268134155205264</v>
      </c>
      <c r="M40" s="182">
        <f t="shared" si="11"/>
        <v>0.32804781494727231</v>
      </c>
    </row>
    <row r="41" spans="1:13" x14ac:dyDescent="0.25">
      <c r="A41" s="126" t="s">
        <v>49</v>
      </c>
      <c r="B41" s="182">
        <f>B65/B61-1</f>
        <v>0.12378913161439353</v>
      </c>
      <c r="C41" s="182">
        <f t="shared" ref="C41:M41" si="12">C65/C61-1</f>
        <v>0.1587610983083998</v>
      </c>
      <c r="D41" s="182">
        <f t="shared" si="12"/>
        <v>0.18855048101544747</v>
      </c>
      <c r="E41" s="182">
        <f t="shared" si="12"/>
        <v>0.21422983751088798</v>
      </c>
      <c r="F41" s="182">
        <f t="shared" si="12"/>
        <v>0.2365948642600928</v>
      </c>
      <c r="G41" s="182">
        <f t="shared" si="12"/>
        <v>0.25624831434484596</v>
      </c>
      <c r="H41" s="182">
        <f t="shared" si="12"/>
        <v>0.27365513688148058</v>
      </c>
      <c r="I41" s="182">
        <f t="shared" si="12"/>
        <v>0.23155561299744565</v>
      </c>
      <c r="J41" s="182">
        <f t="shared" si="12"/>
        <v>0.24521777776492382</v>
      </c>
      <c r="K41" s="182">
        <f t="shared" si="12"/>
        <v>0.25779127162827975</v>
      </c>
      <c r="L41" s="182">
        <f t="shared" si="12"/>
        <v>0.26940123494430401</v>
      </c>
      <c r="M41" s="182">
        <f t="shared" si="12"/>
        <v>0.28015433634813047</v>
      </c>
    </row>
    <row r="42" spans="1:13" x14ac:dyDescent="0.25">
      <c r="A42" s="128" t="s">
        <v>103</v>
      </c>
      <c r="B42" s="182">
        <f t="shared" ref="B42:M42" si="13">B66/B61-1</f>
        <v>0.13141856491394366</v>
      </c>
      <c r="C42" s="182">
        <f t="shared" si="13"/>
        <v>0.17279886067747685</v>
      </c>
      <c r="D42" s="182">
        <f t="shared" si="13"/>
        <v>0.20804690599950271</v>
      </c>
      <c r="E42" s="182">
        <f t="shared" si="13"/>
        <v>0.23843179616299048</v>
      </c>
      <c r="F42" s="182">
        <f t="shared" si="13"/>
        <v>0.26489503255283986</v>
      </c>
      <c r="G42" s="182">
        <f t="shared" si="13"/>
        <v>0.2881498178612194</v>
      </c>
      <c r="H42" s="182">
        <f t="shared" si="13"/>
        <v>0.30874629935657438</v>
      </c>
      <c r="I42" s="182">
        <f t="shared" si="13"/>
        <v>0.26193213620634404</v>
      </c>
      <c r="J42" s="182">
        <f t="shared" si="13"/>
        <v>0.27797330433453893</v>
      </c>
      <c r="K42" s="182">
        <f t="shared" si="13"/>
        <v>0.29273623044863717</v>
      </c>
      <c r="L42" s="182">
        <f t="shared" si="13"/>
        <v>0.30636784569293929</v>
      </c>
      <c r="M42" s="182">
        <f t="shared" si="13"/>
        <v>0.31899339299485119</v>
      </c>
    </row>
    <row r="44" spans="1:13" x14ac:dyDescent="0.25">
      <c r="A44" t="s">
        <v>249</v>
      </c>
      <c r="B44" s="54" t="s">
        <v>251</v>
      </c>
      <c r="C44" s="54" t="s">
        <v>252</v>
      </c>
      <c r="D44" s="54" t="s">
        <v>253</v>
      </c>
      <c r="E44" s="54" t="s">
        <v>254</v>
      </c>
      <c r="F44" s="54" t="s">
        <v>255</v>
      </c>
      <c r="G44" s="54" t="s">
        <v>256</v>
      </c>
      <c r="H44" s="54" t="s">
        <v>257</v>
      </c>
      <c r="I44" s="54" t="s">
        <v>264</v>
      </c>
      <c r="J44" s="54" t="s">
        <v>258</v>
      </c>
      <c r="K44" s="54" t="s">
        <v>259</v>
      </c>
      <c r="L44" s="54" t="s">
        <v>260</v>
      </c>
      <c r="M44" s="54" t="s">
        <v>261</v>
      </c>
    </row>
    <row r="45" spans="1:13" x14ac:dyDescent="0.25">
      <c r="A45" t="s">
        <v>248</v>
      </c>
      <c r="B45" s="103">
        <f>'GASOIL '!$E$6/B44/$B$15</f>
        <v>1.6081818181818184</v>
      </c>
      <c r="C45" s="103">
        <f>'GASOIL '!$E$6/C44/$B$15</f>
        <v>0.80409090909090919</v>
      </c>
      <c r="D45" s="103">
        <f>'GASOIL '!$E$6/D44/$B$15</f>
        <v>0.53606060606060602</v>
      </c>
      <c r="E45" s="103">
        <f>'GASOIL '!$E$6/E44/$B$15</f>
        <v>0.40204545454545459</v>
      </c>
      <c r="F45" s="103">
        <f>'GASOIL '!$E$6/F44/$B$15</f>
        <v>0.32163636363636361</v>
      </c>
      <c r="G45" s="103">
        <f>'GASOIL '!$E$6/G44/$B$15</f>
        <v>0.26803030303030301</v>
      </c>
      <c r="H45" s="103">
        <f>'GASOIL '!$E$6/H44/$B$15</f>
        <v>0.22974025974025974</v>
      </c>
      <c r="I45" s="103">
        <f>'GASOIL '!$E$6/I44/$B$15</f>
        <v>0.2010227272727273</v>
      </c>
      <c r="J45" s="103">
        <f>'GASOIL '!$E$6/J44/$B$15</f>
        <v>0.17868686868686867</v>
      </c>
      <c r="K45" s="103">
        <f>'GASOIL '!$E$6/K44/$B$15</f>
        <v>0.1608181818181818</v>
      </c>
      <c r="L45" s="103">
        <f>'GASOIL '!$E$6/L44/$B$15</f>
        <v>0.14619834710743801</v>
      </c>
      <c r="M45" s="103">
        <f>'GASOIL '!$E$6/M44/$B$15</f>
        <v>0.1340151515151515</v>
      </c>
    </row>
    <row r="46" spans="1:13" x14ac:dyDescent="0.25">
      <c r="A46" t="s">
        <v>198</v>
      </c>
      <c r="B46" s="103">
        <f>HVO!$E$6/B$44/$B$15</f>
        <v>1.6081818181818184</v>
      </c>
      <c r="C46" s="103">
        <f>HVO!$E$6/C$44/$B$15</f>
        <v>0.80409090909090919</v>
      </c>
      <c r="D46" s="103">
        <f>HVO!$E$6/D$44/$B$15</f>
        <v>0.53606060606060602</v>
      </c>
      <c r="E46" s="103">
        <f>HVO!$E$6/E$44/$B$15</f>
        <v>0.40204545454545459</v>
      </c>
      <c r="F46" s="103">
        <f>HVO!$E$6/F$44/$B$15</f>
        <v>0.32163636363636361</v>
      </c>
      <c r="G46" s="103">
        <f>HVO!$E$6/G$44/$B$15</f>
        <v>0.26803030303030301</v>
      </c>
      <c r="H46" s="103">
        <f>HVO!$E$6/H$44/$B$15</f>
        <v>0.22974025974025974</v>
      </c>
      <c r="I46" s="103">
        <f>HVO!$E$6/I$44/$B$15</f>
        <v>0.2010227272727273</v>
      </c>
      <c r="J46" s="103">
        <f>HVO!$E$6/J$44/$B$15</f>
        <v>0.17868686868686867</v>
      </c>
      <c r="K46" s="103">
        <f>HVO!$E$6/K$44/$B$15</f>
        <v>0.1608181818181818</v>
      </c>
      <c r="L46" s="103">
        <f>HVO!$E$6/L$44/$B$15</f>
        <v>0.14619834710743801</v>
      </c>
      <c r="M46" s="103">
        <f>HVO!$E$6/M$44/$B$15</f>
        <v>0.1340151515151515</v>
      </c>
    </row>
    <row r="47" spans="1:13" x14ac:dyDescent="0.25">
      <c r="A47" t="s">
        <v>48</v>
      </c>
      <c r="B47" s="103">
        <f>'H2'!$E$6/B$44/$B$15</f>
        <v>3.5950000000000002</v>
      </c>
      <c r="C47" s="103">
        <f>'H2'!$E$6/C$44/$B$15</f>
        <v>1.7975000000000001</v>
      </c>
      <c r="D47" s="103">
        <f>'H2'!$E$6/D$44/$B$15</f>
        <v>1.1983333333333333</v>
      </c>
      <c r="E47" s="103">
        <f>'H2'!$E$6/E$44/$B$15</f>
        <v>0.89875000000000005</v>
      </c>
      <c r="F47" s="103">
        <f>'H2'!$E$6/F$44/$B$15</f>
        <v>0.71899999999999997</v>
      </c>
      <c r="G47" s="103">
        <f>'H2'!$E$6/G$44/$B$15</f>
        <v>0.59916666666666663</v>
      </c>
      <c r="H47" s="103">
        <f>'H2'!$E$6/H$44/$B$15</f>
        <v>0.51357142857142857</v>
      </c>
      <c r="I47" s="103">
        <f>'H2'!$E$6/I$44/$B$15</f>
        <v>0.44937500000000002</v>
      </c>
      <c r="J47" s="103">
        <f>'H2'!$E$6/J$44/$B$15</f>
        <v>0.39944444444444449</v>
      </c>
      <c r="K47" s="103">
        <f>'H2'!$E$6/K$44/$B$15</f>
        <v>0.35949999999999999</v>
      </c>
      <c r="L47" s="103">
        <f>'H2'!$E$6/L$44/$B$15</f>
        <v>0.32681818181818184</v>
      </c>
      <c r="M47" s="103">
        <f>'H2'!$E$6/M$44/$B$15</f>
        <v>0.29958333333333331</v>
      </c>
    </row>
    <row r="48" spans="1:13" x14ac:dyDescent="0.25">
      <c r="A48" t="s">
        <v>263</v>
      </c>
      <c r="B48" s="103">
        <f>ELÉCTRICO!$E$6/B$44/$B$15</f>
        <v>2.5931818181818183</v>
      </c>
      <c r="C48" s="103">
        <f>ELÉCTRICO!$E$6/C$44/$B$15</f>
        <v>1.2965909090909091</v>
      </c>
      <c r="D48" s="103">
        <f>ELÉCTRICO!$E$6/D$44/$B$15</f>
        <v>0.86439393939393938</v>
      </c>
      <c r="E48" s="103">
        <f>ELÉCTRICO!$E$6/E$44/$B$15</f>
        <v>0.64829545454545456</v>
      </c>
      <c r="F48" s="103">
        <f>ELÉCTRICO!$E$6/F$44/$B$15</f>
        <v>0.51863636363636367</v>
      </c>
      <c r="G48" s="103">
        <f>ELÉCTRICO!$E$6/G$44/$B$15</f>
        <v>0.43219696969696969</v>
      </c>
      <c r="H48" s="103">
        <f>ELÉCTRICO!$E$6/H$44/$B$15</f>
        <v>0.37045454545454548</v>
      </c>
      <c r="I48" s="103">
        <f>ELÉCTRICO!$E$6/I$44/$B$15</f>
        <v>0.32414772727272728</v>
      </c>
      <c r="J48" s="103">
        <f>ELÉCTRICO!$E$6/J$44/$B$15</f>
        <v>0.28813131313131313</v>
      </c>
      <c r="K48" s="103">
        <f>ELÉCTRICO!$E$6/K$44/$B$15</f>
        <v>0.25931818181818184</v>
      </c>
      <c r="L48" s="103">
        <f>ELÉCTRICO!$E$6/L$44/$B$15</f>
        <v>0.23574380165289258</v>
      </c>
      <c r="M48" s="103">
        <f>ELÉCTRICO!$E$6/M$44/$B$15</f>
        <v>0.21609848484848485</v>
      </c>
    </row>
    <row r="49" spans="1:13" x14ac:dyDescent="0.25">
      <c r="A49" t="s">
        <v>49</v>
      </c>
      <c r="B49" s="103">
        <f>'GAS NATURAL'!$E$6/B$44/$B$15</f>
        <v>1.8677272727272729</v>
      </c>
      <c r="C49" s="103">
        <f>'GAS NATURAL'!$E$6/C$44/$B$15</f>
        <v>0.93386363636363645</v>
      </c>
      <c r="D49" s="103">
        <f>'GAS NATURAL'!$E$6/D$44/$B$15</f>
        <v>0.62257575757575756</v>
      </c>
      <c r="E49" s="103">
        <f>'GAS NATURAL'!$E$6/E$44/$B$15</f>
        <v>0.46693181818181823</v>
      </c>
      <c r="F49" s="103">
        <f>'GAS NATURAL'!$E$6/F$44/$B$15</f>
        <v>0.37354545454545457</v>
      </c>
      <c r="G49" s="103">
        <f>'GAS NATURAL'!$E$6/G$44/$B$15</f>
        <v>0.31128787878787878</v>
      </c>
      <c r="H49" s="103">
        <f>'GAS NATURAL'!$E$6/H$44/$B$15</f>
        <v>0.26681818181818184</v>
      </c>
      <c r="I49" s="103">
        <f>'GAS NATURAL'!$E$6/I$44/$B$15</f>
        <v>0.23346590909090911</v>
      </c>
      <c r="J49" s="103">
        <f>'GAS NATURAL'!$E$6/J$44/$B$15</f>
        <v>0.2075252525252525</v>
      </c>
      <c r="K49" s="103">
        <f>'GAS NATURAL'!$E$6/K$44/$B$15</f>
        <v>0.18677272727272728</v>
      </c>
      <c r="L49" s="103">
        <f>'GAS NATURAL'!$E$6/L$44/$B$15</f>
        <v>0.16979338842975206</v>
      </c>
      <c r="M49" s="103">
        <f>'GAS NATURAL'!$E$6/M$44/$B$15</f>
        <v>0.15564393939393939</v>
      </c>
    </row>
    <row r="50" spans="1:13" x14ac:dyDescent="0.25">
      <c r="A50" t="s">
        <v>103</v>
      </c>
      <c r="B50" s="103">
        <f>BIOMETANO!$E$6/B$44/$B$15</f>
        <v>1.8677272727272729</v>
      </c>
      <c r="C50" s="103">
        <f>BIOMETANO!$E$6/C$44/$B$15</f>
        <v>0.93386363636363645</v>
      </c>
      <c r="D50" s="103">
        <f>BIOMETANO!$E$6/D$44/$B$15</f>
        <v>0.62257575757575756</v>
      </c>
      <c r="E50" s="103">
        <f>BIOMETANO!$E$6/E$44/$B$15</f>
        <v>0.46693181818181823</v>
      </c>
      <c r="F50" s="103">
        <f>BIOMETANO!$E$6/F$44/$B$15</f>
        <v>0.37354545454545457</v>
      </c>
      <c r="G50" s="103">
        <f>BIOMETANO!$E$6/G$44/$B$15</f>
        <v>0.31128787878787878</v>
      </c>
      <c r="H50" s="103">
        <f>BIOMETANO!$E$6/H$44/$B$15</f>
        <v>0.26681818181818184</v>
      </c>
      <c r="I50" s="103">
        <f>BIOMETANO!$E$6/I$44/$B$15</f>
        <v>0.23346590909090911</v>
      </c>
      <c r="J50" s="103">
        <f>BIOMETANO!$E$6/J$44/$B$15</f>
        <v>0.2075252525252525</v>
      </c>
      <c r="K50" s="103">
        <f>BIOMETANO!$E$6/K$44/$B$15</f>
        <v>0.18677272727272728</v>
      </c>
      <c r="L50" s="103">
        <f>BIOMETANO!$E$6/L$44/$B$15</f>
        <v>0.16979338842975206</v>
      </c>
      <c r="M50" s="103">
        <f>BIOMETANO!$E$6/M$44/$B$15</f>
        <v>0.15564393939393939</v>
      </c>
    </row>
    <row r="52" spans="1:13" x14ac:dyDescent="0.25">
      <c r="A52" t="s">
        <v>250</v>
      </c>
      <c r="B52" t="s">
        <v>251</v>
      </c>
      <c r="C52" t="s">
        <v>252</v>
      </c>
      <c r="D52" t="s">
        <v>253</v>
      </c>
      <c r="E52" t="s">
        <v>254</v>
      </c>
      <c r="F52" t="s">
        <v>255</v>
      </c>
      <c r="G52" t="s">
        <v>256</v>
      </c>
      <c r="H52" t="s">
        <v>257</v>
      </c>
      <c r="I52" t="s">
        <v>264</v>
      </c>
      <c r="J52" t="s">
        <v>258</v>
      </c>
      <c r="K52" t="s">
        <v>259</v>
      </c>
      <c r="L52" t="s">
        <v>260</v>
      </c>
      <c r="M52" t="s">
        <v>261</v>
      </c>
    </row>
    <row r="53" spans="1:13" x14ac:dyDescent="0.25">
      <c r="A53" t="s">
        <v>248</v>
      </c>
      <c r="B53" s="103">
        <f>($B$17/$B$15+0.0105*2*'CALCULADORA COSTES'!B$52+'GASOIL '!$E$37/$B$15+'GASOIL '!$D$33*'CALCULADORA COSTES'!B$52)/'CALCULADORA COSTES'!B$52</f>
        <v>1.7319090909090906</v>
      </c>
      <c r="C53" s="103">
        <f>($B$17/$B$15+0.0105*2*'CALCULADORA COSTES'!C$52+'GASOIL '!$E$37/$B$15+'GASOIL '!$D$33*'CALCULADORA COSTES'!C$52)/'CALCULADORA COSTES'!C$52</f>
        <v>1.0164545454545453</v>
      </c>
      <c r="D53" s="103">
        <f>($B$17/$B$15+0.0105*2*'CALCULADORA COSTES'!D$52+'GASOIL '!$E$37/$B$15+'GASOIL '!$D$33*'CALCULADORA COSTES'!D$52)/'CALCULADORA COSTES'!D$52</f>
        <v>0.77796969696969687</v>
      </c>
      <c r="E53" s="103">
        <f>($B$17/$B$15+0.0105*2*'CALCULADORA COSTES'!E$52+'GASOIL '!$E$37/$B$15+'GASOIL '!$D$33*'CALCULADORA COSTES'!E$52)/'CALCULADORA COSTES'!E$52</f>
        <v>0.65872727272727272</v>
      </c>
      <c r="F53" s="103">
        <f>($B$17/$B$15+0.0105*2*'CALCULADORA COSTES'!F$52+'GASOIL '!$E$37/$B$15+'GASOIL '!$D$33*'CALCULADORA COSTES'!F$52)/'CALCULADORA COSTES'!F$52</f>
        <v>0.58718181818181814</v>
      </c>
      <c r="G53" s="103">
        <f>($B$17/$B$15+0.0105*2*'CALCULADORA COSTES'!G$52+'GASOIL '!$E$37/$B$15+'GASOIL '!$D$33*'CALCULADORA COSTES'!G$52)/'CALCULADORA COSTES'!G$52</f>
        <v>0.53948484848484846</v>
      </c>
      <c r="H53" s="103">
        <f>($B$17/$B$15+0.0105*2*'CALCULADORA COSTES'!H$52+'GASOIL '!$E$37/$B$15+'GASOIL '!$D$33*'CALCULADORA COSTES'!H$52)/'CALCULADORA COSTES'!H$52</f>
        <v>0.50541558441558432</v>
      </c>
      <c r="I53" s="103">
        <f>($B$17*2/$B$15+0.0105*2*'CALCULADORA COSTES'!I$52+'GASOIL '!$E$37/$B$15+'GASOIL '!$D$33*'CALCULADORA COSTES'!I$52)/'CALCULADORA COSTES'!I$52</f>
        <v>0.6530454545454546</v>
      </c>
      <c r="J53" s="103">
        <f>($B$17*2/$B$15+0.0105*2*'CALCULADORA COSTES'!J$52+'GASOIL '!$E$37/$B$15+'GASOIL '!$D$33*'CALCULADORA COSTES'!J$52)/'CALCULADORA COSTES'!J$52</f>
        <v>0.61392929292929288</v>
      </c>
      <c r="K53" s="103">
        <f>($B$17*2/$B$15+0.0105*2*'CALCULADORA COSTES'!K$52+'GASOIL '!$E$37/$B$15+'GASOIL '!$D$33*'CALCULADORA COSTES'!K$52)/'CALCULADORA COSTES'!K$52</f>
        <v>0.58263636363636362</v>
      </c>
      <c r="L53" s="103">
        <f>($B$17*2/$B$15+0.0105*2*'CALCULADORA COSTES'!L$52+'GASOIL '!$E$37/$B$15+'GASOIL '!$D$33*'CALCULADORA COSTES'!L$52)/'CALCULADORA COSTES'!L$52</f>
        <v>0.55703305785123969</v>
      </c>
      <c r="M53" s="103">
        <f>($B$17*2/$B$15+0.0105*2*'CALCULADORA COSTES'!M$52+'GASOIL '!$E$37/$B$15+'GASOIL '!$D$33*'CALCULADORA COSTES'!M$52)/'CALCULADORA COSTES'!M$52</f>
        <v>0.53569696969696967</v>
      </c>
    </row>
    <row r="54" spans="1:13" x14ac:dyDescent="0.25">
      <c r="A54" t="s">
        <v>198</v>
      </c>
      <c r="B54" s="103">
        <f>($B$17/$B$15+0.0105*2*'CALCULADORA COSTES'!B$52+HVO!$E$37/$B$15+HVO!$D$33*'CALCULADORA COSTES'!B$52)/'CALCULADORA COSTES'!B$52</f>
        <v>1.8299090909090907</v>
      </c>
      <c r="C54" s="103">
        <f>($B$17/$B$15+0.0105*2*'CALCULADORA COSTES'!C$52+HVO!$E$37/$B$15+HVO!$D$33*'CALCULADORA COSTES'!C$52)/'CALCULADORA COSTES'!C$52</f>
        <v>1.1144545454545454</v>
      </c>
      <c r="D54" s="103">
        <f>($B$17/$B$15+0.0105*2*'CALCULADORA COSTES'!D$52+HVO!$E$37/$B$15+HVO!$D$33*'CALCULADORA COSTES'!D$52)/'CALCULADORA COSTES'!D$52</f>
        <v>0.87596969696969706</v>
      </c>
      <c r="E54" s="103">
        <f>($B$17/$B$15+0.0105*2*'CALCULADORA COSTES'!E$52+HVO!$E$37/$B$15+HVO!$D$33*'CALCULADORA COSTES'!E$52)/'CALCULADORA COSTES'!E$52</f>
        <v>0.75672727272727269</v>
      </c>
      <c r="F54" s="103">
        <f>($B$17/$B$15+0.0105*2*'CALCULADORA COSTES'!F$52+HVO!$E$37/$B$15+HVO!$D$33*'CALCULADORA COSTES'!F$52)/'CALCULADORA COSTES'!F$52</f>
        <v>0.68518181818181823</v>
      </c>
      <c r="G54" s="103">
        <f>($B$17/$B$15+0.0105*2*'CALCULADORA COSTES'!G$52+HVO!$E$37/$B$15+HVO!$D$33*'CALCULADORA COSTES'!G$52)/'CALCULADORA COSTES'!G$52</f>
        <v>0.63748484848484854</v>
      </c>
      <c r="H54" s="103">
        <f>($B$17/$B$15+0.0105*2*'CALCULADORA COSTES'!H$52+HVO!$E$37/$B$15+HVO!$D$33*'CALCULADORA COSTES'!H$52)/'CALCULADORA COSTES'!H$52</f>
        <v>0.60341558441558441</v>
      </c>
      <c r="I54" s="103">
        <f>($B$17*2/$B$15+0.0105*2*'CALCULADORA COSTES'!I$52+HVO!$E$37/$B$15+HVO!$D$33*'CALCULADORA COSTES'!I$52)/'CALCULADORA COSTES'!I$52</f>
        <v>0.75104545454545457</v>
      </c>
      <c r="J54" s="103">
        <f>($B$17*2/$B$15+0.0105*2*'CALCULADORA COSTES'!J$52+HVO!$E$37/$B$15+HVO!$D$33*'CALCULADORA COSTES'!J$52)/'CALCULADORA COSTES'!J$52</f>
        <v>0.71192929292929297</v>
      </c>
      <c r="K54" s="103">
        <f>($B$17*2/$B$15+0.0105*2*'CALCULADORA COSTES'!K$52+HVO!$E$37/$B$15+HVO!$D$33*'CALCULADORA COSTES'!K$52)/'CALCULADORA COSTES'!K$52</f>
        <v>0.68063636363636371</v>
      </c>
      <c r="L54" s="103">
        <f>($B$17*2/$B$15+0.0105*2*'CALCULADORA COSTES'!L$52+HVO!$E$37/$B$15+HVO!$D$33*'CALCULADORA COSTES'!L$52)/'CALCULADORA COSTES'!L$52</f>
        <v>0.65503305785123978</v>
      </c>
      <c r="M54" s="103">
        <f>($B$17*2/$B$15+0.0105*2*'CALCULADORA COSTES'!M$52+HVO!$E$37/$B$15+HVO!$D$33*'CALCULADORA COSTES'!M$52)/'CALCULADORA COSTES'!M$52</f>
        <v>0.63369696969696976</v>
      </c>
    </row>
    <row r="55" spans="1:13" x14ac:dyDescent="0.25">
      <c r="A55" t="s">
        <v>48</v>
      </c>
      <c r="B55" s="103">
        <f>($B$17/$B$15+0.0105*2*'CALCULADORA COSTES'!B$52+'H2'!$E$36/$B$15+'H2'!$D$32*'CALCULADORA COSTES'!B$52)/'CALCULADORA COSTES'!B$52</f>
        <v>2.0819090909090905</v>
      </c>
      <c r="C55" s="103">
        <f>($B$17/$B$15+0.0105*2*'CALCULADORA COSTES'!C$52+'H2'!$E$36/$B$15+'H2'!$D$32*'CALCULADORA COSTES'!C$52)/'CALCULADORA COSTES'!C$52</f>
        <v>1.3664545454545454</v>
      </c>
      <c r="D55" s="103">
        <f>($B$17/$B$15+0.0105*2*'CALCULADORA COSTES'!D$52+'H2'!$E$36/$B$15+'H2'!$D$32*'CALCULADORA COSTES'!D$52)/'CALCULADORA COSTES'!D$52</f>
        <v>1.1279696969696968</v>
      </c>
      <c r="E55" s="103">
        <f>($B$17/$B$15+0.0105*2*'CALCULADORA COSTES'!E$52+'H2'!$E$36/$B$15+'H2'!$D$32*'CALCULADORA COSTES'!E$52)/'CALCULADORA COSTES'!E$52</f>
        <v>1.0087272727272727</v>
      </c>
      <c r="F55" s="103">
        <f>($B$17/$B$15+0.0105*2*'CALCULADORA COSTES'!F$52+'H2'!$E$36/$B$15+'H2'!$D$32*'CALCULADORA COSTES'!F$52)/'CALCULADORA COSTES'!F$52</f>
        <v>0.93718181818181812</v>
      </c>
      <c r="G55" s="103">
        <f>($B$17/$B$15+0.0105*2*'CALCULADORA COSTES'!G$52+'H2'!$E$36/$B$15+'H2'!$D$32*'CALCULADORA COSTES'!G$52)/'CALCULADORA COSTES'!G$52</f>
        <v>0.88948484848484843</v>
      </c>
      <c r="H55" s="103">
        <f>($B$17/$B$15+0.0105*2*'CALCULADORA COSTES'!H$52+'H2'!$E$36/$B$15+'H2'!$D$32*'CALCULADORA COSTES'!H$52)/'CALCULADORA COSTES'!H$52</f>
        <v>0.85541558441558441</v>
      </c>
      <c r="I55" s="103">
        <f>($B$17*2/$B$15+0.0105*2*'CALCULADORA COSTES'!I$52+'H2'!$E$36/$B$15+'H2'!$D$32*'CALCULADORA COSTES'!I$52)/'CALCULADORA COSTES'!I$52</f>
        <v>1.0030454545454546</v>
      </c>
      <c r="J55" s="103">
        <f>($B$17*2/$B$15+0.0105*2*'CALCULADORA COSTES'!J$52+'H2'!$E$36/$B$15+'H2'!$D$32*'CALCULADORA COSTES'!J$52)/'CALCULADORA COSTES'!J$52</f>
        <v>0.96392929292929286</v>
      </c>
      <c r="K55" s="103">
        <f>($B$17*2/$B$15+0.0105*2*'CALCULADORA COSTES'!K$52+'H2'!$E$36/$B$15+'H2'!$D$32*'CALCULADORA COSTES'!K$52)/'CALCULADORA COSTES'!K$52</f>
        <v>0.9326363636363636</v>
      </c>
      <c r="L55" s="103">
        <f>($B$17*2/$B$15+0.0105*2*'CALCULADORA COSTES'!L$52+'H2'!$E$36/$B$15+'H2'!$D$32*'CALCULADORA COSTES'!L$52)/'CALCULADORA COSTES'!L$52</f>
        <v>0.90703305785123967</v>
      </c>
      <c r="M55" s="103">
        <f>($B$17*2/$B$15+0.0105*2*'CALCULADORA COSTES'!M$52+'H2'!$E$36/$B$15+'H2'!$D$32*'CALCULADORA COSTES'!M$52)/'CALCULADORA COSTES'!M$52</f>
        <v>0.88569696969696965</v>
      </c>
    </row>
    <row r="56" spans="1:13" x14ac:dyDescent="0.25">
      <c r="A56" t="s">
        <v>263</v>
      </c>
      <c r="B56" s="103">
        <f>($B$17/$B$15+0.0105*2*'CALCULADORA COSTES'!B$52+ELÉCTRICO!$E$36/$B$15+ELÉCTRICO!$D$32*'CALCULADORA COSTES'!B$52)/'CALCULADORA COSTES'!B$52</f>
        <v>1.8728090909090906</v>
      </c>
      <c r="C56" s="103">
        <f>($B$17/$B$15+0.0105*2*'CALCULADORA COSTES'!C$52+ELÉCTRICO!$E$36/$B$15+ELÉCTRICO!$D$32*'CALCULADORA COSTES'!C$52)/'CALCULADORA COSTES'!C$52</f>
        <v>1.1573545454545453</v>
      </c>
      <c r="D56" s="103">
        <f>($B$17/$B$15+0.0105*2*'CALCULADORA COSTES'!D$52+ELÉCTRICO!$E$36/$B$15+ELÉCTRICO!$D$32*'CALCULADORA COSTES'!D$52)/'CALCULADORA COSTES'!D$52</f>
        <v>0.91886969696969689</v>
      </c>
      <c r="E56" s="103">
        <f>($B$17/$B$15+0.0105*2*'CALCULADORA COSTES'!E$52+ELÉCTRICO!$E$36/$B$15+ELÉCTRICO!$D$32*'CALCULADORA COSTES'!E$52)/'CALCULADORA COSTES'!E$52</f>
        <v>0.79962727272727274</v>
      </c>
      <c r="F56" s="103">
        <f>($B$17/$B$15+0.0105*2*'CALCULADORA COSTES'!F$52+ELÉCTRICO!$E$36/$B$15+ELÉCTRICO!$D$32*'CALCULADORA COSTES'!F$52)/'CALCULADORA COSTES'!F$52</f>
        <v>0.72808181818181805</v>
      </c>
      <c r="G56" s="103">
        <f>($B$17/$B$15+0.0105*2*'CALCULADORA COSTES'!G$52+ELÉCTRICO!$E$36/$B$15+ELÉCTRICO!$D$32*'CALCULADORA COSTES'!G$52)/'CALCULADORA COSTES'!G$52</f>
        <v>0.68038484848484848</v>
      </c>
      <c r="H56" s="103">
        <f>($B$17/$B$15+0.0105*2*'CALCULADORA COSTES'!H$52+ELÉCTRICO!$E$36/$B$15+ELÉCTRICO!$D$32*'CALCULADORA COSTES'!H$52)/'CALCULADORA COSTES'!H$52</f>
        <v>0.64631558441558445</v>
      </c>
      <c r="I56" s="103">
        <f>($B$17*2/$B$15+0.0105*2*'CALCULADORA COSTES'!I$52+ELÉCTRICO!$E$36/$B$15+ELÉCTRICO!$D$32*'CALCULADORA COSTES'!I$52)/'CALCULADORA COSTES'!I$52</f>
        <v>0.79394545454545462</v>
      </c>
      <c r="J56" s="103">
        <f>($B$17*2/$B$15+0.0105*2*'CALCULADORA COSTES'!J$52+ELÉCTRICO!$E$36/$B$15+ELÉCTRICO!$D$32*'CALCULADORA COSTES'!J$52)/'CALCULADORA COSTES'!J$52</f>
        <v>0.75482929292929291</v>
      </c>
      <c r="K56" s="103">
        <f>($B$17*2/$B$15+0.0105*2*'CALCULADORA COSTES'!K$52+ELÉCTRICO!$E$36/$B$15+ELÉCTRICO!$D$32*'CALCULADORA COSTES'!K$52)/'CALCULADORA COSTES'!K$52</f>
        <v>0.72353636363636364</v>
      </c>
      <c r="L56" s="103">
        <f>($B$17*2/$B$15+0.0105*2*'CALCULADORA COSTES'!L$52+ELÉCTRICO!$E$36/$B$15+ELÉCTRICO!$D$32*'CALCULADORA COSTES'!L$52)/'CALCULADORA COSTES'!L$52</f>
        <v>0.69793305785123971</v>
      </c>
      <c r="M56" s="103">
        <f>($B$17*2/$B$15+0.0105*2*'CALCULADORA COSTES'!M$52+ELÉCTRICO!$E$36/$B$15+ELÉCTRICO!$D$32*'CALCULADORA COSTES'!M$52)/'CALCULADORA COSTES'!M$52</f>
        <v>0.67659696969696981</v>
      </c>
    </row>
    <row r="57" spans="1:13" x14ac:dyDescent="0.25">
      <c r="A57" t="s">
        <v>49</v>
      </c>
      <c r="B57" s="103">
        <f>($B$17/$B$15+0.0105*2*'CALCULADORA COSTES'!B$52+'GAS NATURAL'!$E$36/$B$15+'GAS NATURAL'!$D$32*'CALCULADORA COSTES'!B$52)/'CALCULADORA COSTES'!B$52</f>
        <v>1.9007090909090905</v>
      </c>
      <c r="C57" s="103">
        <f>($B$17/$B$15+0.0105*2*'CALCULADORA COSTES'!C$52+'GAS NATURAL'!$E$36/$B$15+'GAS NATURAL'!$D$32*'CALCULADORA COSTES'!C$52)/'CALCULADORA COSTES'!C$52</f>
        <v>1.1852545454545451</v>
      </c>
      <c r="D57" s="103">
        <f>($B$17/$B$15+0.0105*2*'CALCULADORA COSTES'!D$52+'GAS NATURAL'!$E$36/$B$15+'GAS NATURAL'!$D$32*'CALCULADORA COSTES'!D$52)/'CALCULADORA COSTES'!D$52</f>
        <v>0.94676969696969693</v>
      </c>
      <c r="E57" s="103">
        <f>($B$17/$B$15+0.0105*2*'CALCULADORA COSTES'!E$52+'GAS NATURAL'!$E$36/$B$15+'GAS NATURAL'!$D$32*'CALCULADORA COSTES'!E$52)/'CALCULADORA COSTES'!E$52</f>
        <v>0.82752727272727267</v>
      </c>
      <c r="F57" s="103">
        <f>($B$17/$B$15+0.0105*2*'CALCULADORA COSTES'!F$52+'GAS NATURAL'!$E$36/$B$15+'GAS NATURAL'!$D$32*'CALCULADORA COSTES'!F$52)/'CALCULADORA COSTES'!F$52</f>
        <v>0.7559818181818182</v>
      </c>
      <c r="G57" s="103">
        <f>($B$17/$B$15+0.0105*2*'CALCULADORA COSTES'!G$52+'GAS NATURAL'!$E$36/$B$15+'GAS NATURAL'!$D$32*'CALCULADORA COSTES'!G$52)/'CALCULADORA COSTES'!G$52</f>
        <v>0.70828484848484852</v>
      </c>
      <c r="H57" s="103">
        <f>($B$17/$B$15+0.0105*2*'CALCULADORA COSTES'!H$52+'GAS NATURAL'!$E$36/$B$15+'GAS NATURAL'!$D$32*'CALCULADORA COSTES'!H$52)/'CALCULADORA COSTES'!H$52</f>
        <v>0.67421558441558438</v>
      </c>
      <c r="I57" s="103">
        <f>($B$17*2/$B$15+0.0105*2*'CALCULADORA COSTES'!I$52+'GAS NATURAL'!$E$36/$B$15+'GAS NATURAL'!$D$32*'CALCULADORA COSTES'!I$52)/'CALCULADORA COSTES'!I$52</f>
        <v>0.82184545454545455</v>
      </c>
      <c r="J57" s="103">
        <f>($B$17*2/$B$15+0.0105*2*'CALCULADORA COSTES'!J$52+'GAS NATURAL'!$E$36/$B$15+'GAS NATURAL'!$D$32*'CALCULADORA COSTES'!J$52)/'CALCULADORA COSTES'!J$52</f>
        <v>0.78272929292929294</v>
      </c>
      <c r="K57" s="103">
        <f>($B$17*2/$B$15+0.0105*2*'CALCULADORA COSTES'!K$52+'GAS NATURAL'!$E$36/$B$15+'GAS NATURAL'!$D$32*'CALCULADORA COSTES'!K$52)/'CALCULADORA COSTES'!K$52</f>
        <v>0.75143636363636368</v>
      </c>
      <c r="L57" s="103">
        <f>($B$17*2/$B$15+0.0105*2*'CALCULADORA COSTES'!L$52+'GAS NATURAL'!$E$36/$B$15+'GAS NATURAL'!$D$32*'CALCULADORA COSTES'!L$52)/'CALCULADORA COSTES'!L$52</f>
        <v>0.72583305785123975</v>
      </c>
      <c r="M57" s="103">
        <f>($B$17*2/$B$15+0.0105*2*'CALCULADORA COSTES'!M$52+'GAS NATURAL'!$E$36/$B$15+'GAS NATURAL'!$D$32*'CALCULADORA COSTES'!M$52)/'CALCULADORA COSTES'!M$52</f>
        <v>0.70449696969696973</v>
      </c>
    </row>
    <row r="58" spans="1:13" x14ac:dyDescent="0.25">
      <c r="A58" t="s">
        <v>103</v>
      </c>
      <c r="B58" s="103">
        <f>($B$17/$B$15+0.0105*2*'CALCULADORA COSTES'!B$52+BIOMETANO!$E$36/$B$15+BIOMETANO!$D$32*'CALCULADORA COSTES'!B$52)/'CALCULADORA COSTES'!B$52</f>
        <v>1.9271090909090907</v>
      </c>
      <c r="C58" s="103">
        <f>($B$17/$B$15+0.0105*2*'CALCULADORA COSTES'!C$52+BIOMETANO!$E$36/$B$15+BIOMETANO!$D$32*'CALCULADORA COSTES'!C$52)/'CALCULADORA COSTES'!C$52</f>
        <v>1.2116545454545453</v>
      </c>
      <c r="D58" s="103">
        <f>($B$17/$B$15+0.0105*2*'CALCULADORA COSTES'!D$52+BIOMETANO!$E$36/$B$15+BIOMETANO!$D$32*'CALCULADORA COSTES'!D$52)/'CALCULADORA COSTES'!D$52</f>
        <v>0.97316969696969691</v>
      </c>
      <c r="E58" s="103">
        <f>($B$17/$B$15+0.0105*2*'CALCULADORA COSTES'!E$52+BIOMETANO!$E$36/$B$15+BIOMETANO!$D$32*'CALCULADORA COSTES'!E$52)/'CALCULADORA COSTES'!E$52</f>
        <v>0.85392727272727276</v>
      </c>
      <c r="F58" s="103">
        <f>($B$17/$B$15+0.0105*2*'CALCULADORA COSTES'!F$52+BIOMETANO!$E$36/$B$15+BIOMETANO!$D$32*'CALCULADORA COSTES'!F$52)/'CALCULADORA COSTES'!F$52</f>
        <v>0.78238181818181807</v>
      </c>
      <c r="G58" s="103">
        <f>($B$17/$B$15+0.0105*2*'CALCULADORA COSTES'!G$52+BIOMETANO!$E$36/$B$15+BIOMETANO!$D$32*'CALCULADORA COSTES'!G$52)/'CALCULADORA COSTES'!G$52</f>
        <v>0.73468484848484839</v>
      </c>
      <c r="H58" s="103">
        <f>($B$17/$B$15+0.0105*2*'CALCULADORA COSTES'!H$52+BIOMETANO!$E$36/$B$15+BIOMETANO!$D$32*'CALCULADORA COSTES'!H$52)/'CALCULADORA COSTES'!H$52</f>
        <v>0.70061558441558436</v>
      </c>
      <c r="I58" s="103">
        <f>($B$17*2/$B$15+0.0105*2*'CALCULADORA COSTES'!I$52+BIOMETANO!$E$36/$B$15+BIOMETANO!$D$32*'CALCULADORA COSTES'!I$52)/'CALCULADORA COSTES'!I$52</f>
        <v>0.84824545454545452</v>
      </c>
      <c r="J58" s="103">
        <f>($B$17*2/$B$15+0.0105*2*'CALCULADORA COSTES'!J$52+BIOMETANO!$E$36/$B$15+BIOMETANO!$D$32*'CALCULADORA COSTES'!J$52)/'CALCULADORA COSTES'!J$52</f>
        <v>0.80912929292929292</v>
      </c>
      <c r="K58" s="103">
        <f>($B$17*2/$B$15+0.0105*2*'CALCULADORA COSTES'!K$52+BIOMETANO!$E$36/$B$15+BIOMETANO!$D$32*'CALCULADORA COSTES'!K$52)/'CALCULADORA COSTES'!K$52</f>
        <v>0.77783636363636355</v>
      </c>
      <c r="L58" s="103">
        <f>($B$17*2/$B$15+0.0105*2*'CALCULADORA COSTES'!L$52+BIOMETANO!$E$36/$B$15+BIOMETANO!$D$32*'CALCULADORA COSTES'!L$52)/'CALCULADORA COSTES'!L$52</f>
        <v>0.75223305785123973</v>
      </c>
      <c r="M58" s="103">
        <f>($B$17*2/$B$15+0.0105*2*'CALCULADORA COSTES'!M$52+BIOMETANO!$E$36/$B$15+BIOMETANO!$D$32*'CALCULADORA COSTES'!M$52)/'CALCULADORA COSTES'!M$52</f>
        <v>0.7308969696969696</v>
      </c>
    </row>
    <row r="60" spans="1:13" x14ac:dyDescent="0.25">
      <c r="A60" t="s">
        <v>295</v>
      </c>
      <c r="B60" s="54" t="s">
        <v>251</v>
      </c>
      <c r="C60" s="54" t="s">
        <v>252</v>
      </c>
      <c r="D60" s="54" t="s">
        <v>253</v>
      </c>
      <c r="E60" s="54" t="s">
        <v>254</v>
      </c>
      <c r="F60" s="54" t="s">
        <v>255</v>
      </c>
      <c r="G60" s="54" t="s">
        <v>256</v>
      </c>
      <c r="H60" s="54" t="s">
        <v>257</v>
      </c>
      <c r="I60" s="54" t="s">
        <v>264</v>
      </c>
      <c r="J60" s="54" t="s">
        <v>258</v>
      </c>
      <c r="K60" s="54" t="s">
        <v>259</v>
      </c>
      <c r="L60" s="54" t="s">
        <v>260</v>
      </c>
      <c r="M60" s="54" t="s">
        <v>261</v>
      </c>
    </row>
    <row r="61" spans="1:13" x14ac:dyDescent="0.25">
      <c r="A61" t="s">
        <v>248</v>
      </c>
      <c r="B61" s="55">
        <f>(B45+B53)+(B45+B53)*0.04+275/Tabla25[[#Headers],[100]]/'CALCULADORA COSTES'!$B$15</f>
        <v>3.5986945454545456</v>
      </c>
      <c r="C61" s="55">
        <f>(C45+C53)+(C45+C53)*0.04+275/Tabla25[[#Headers],[200]]/'CALCULADORA COSTES'!$B$15</f>
        <v>1.9558672727272726</v>
      </c>
      <c r="D61" s="55">
        <f>(D45+D53)+(D45+D53)*0.04+275/Tabla25[[#Headers],[300]]/'CALCULADORA COSTES'!$B$15</f>
        <v>1.4082581818181816</v>
      </c>
      <c r="E61" s="55">
        <f>(E45+E53)+(E45+E53)*0.04+275/Tabla25[[#Headers],[400]]/'CALCULADORA COSTES'!$B$15</f>
        <v>1.1344536363636366</v>
      </c>
      <c r="F61" s="55">
        <f>(F45+F53)+(F45+F53)*0.04+275/Tabla25[[#Headers],[500]]/'CALCULADORA COSTES'!$B$15</f>
        <v>0.97017090909090908</v>
      </c>
      <c r="G61" s="55">
        <f>(G45+G53)+(G45+G53)*0.04+275/Tabla25[[#Headers],[600]]/'CALCULADORA COSTES'!$B$15</f>
        <v>0.86064909090909092</v>
      </c>
      <c r="H61" s="55">
        <f>(H45+H53)+(H45+H53)*0.04+275/Tabla25[[#Headers],[700]]/'CALCULADORA COSTES'!$B$15</f>
        <v>0.78241922077922077</v>
      </c>
      <c r="I61" s="55">
        <f>(I45+I53)+(I45+I53)*0.04+275/Tabla25[[#Headers],[800]]/'CALCULADORA COSTES'!$B$15</f>
        <v>0.90385590909090918</v>
      </c>
      <c r="J61" s="55">
        <f>(J45+J53)+(J45+J53)*0.04+275/Tabla25[[#Headers],[900]]/'CALCULADORA COSTES'!$B$15</f>
        <v>0.83820969696969683</v>
      </c>
      <c r="K61" s="55">
        <f>(K45+K53)+(K45+K53)*0.04+275/Tabla25[[#Headers],[1000]]/'CALCULADORA COSTES'!$B$15</f>
        <v>0.7856927272727271</v>
      </c>
      <c r="L61" s="55">
        <f>(L45+L53)+(L45+L53)*0.04+275/Tabla25[[#Headers],[1100]]/'CALCULADORA COSTES'!$B$15</f>
        <v>0.74272429752066105</v>
      </c>
      <c r="M61" s="55">
        <f>(M45+M53)+(M45+M53)*0.04+275/Tabla25[[#Headers],[1200]]/'CALCULADORA COSTES'!$B$15</f>
        <v>0.70691727272727267</v>
      </c>
    </row>
    <row r="62" spans="1:13" x14ac:dyDescent="0.25">
      <c r="A62" t="s">
        <v>198</v>
      </c>
      <c r="B62" s="55">
        <f>(B46+B54)+(B46+B54)*0.04+275/Tabla25[[#Headers],[100]]/'CALCULADORA COSTES'!$B$15</f>
        <v>3.7006145454545454</v>
      </c>
      <c r="C62" s="55">
        <f>(C46+C54)+(C46+C54)*0.04+275/Tabla25[[#Headers],[200]]/'CALCULADORA COSTES'!$B$15</f>
        <v>2.057787272727273</v>
      </c>
      <c r="D62" s="55">
        <f>(D46+D54)+(D46+D54)*0.04+275/Tabla25[[#Headers],[300]]/'CALCULADORA COSTES'!$B$15</f>
        <v>1.5101781818181821</v>
      </c>
      <c r="E62" s="55">
        <f>(E46+E54)+(E46+E54)*0.04+275/Tabla25[[#Headers],[400]]/'CALCULADORA COSTES'!$B$15</f>
        <v>1.2363736363636364</v>
      </c>
      <c r="F62" s="55">
        <f>(F46+F54)+(F46+F54)*0.04+275/Tabla25[[#Headers],[500]]/'CALCULADORA COSTES'!$B$15</f>
        <v>1.072090909090909</v>
      </c>
      <c r="G62" s="55">
        <f>(G46+G54)+(G46+G54)*0.04+275/Tabla25[[#Headers],[600]]/'CALCULADORA COSTES'!$B$15</f>
        <v>0.96256909090909104</v>
      </c>
      <c r="H62" s="55">
        <f>(H46+H54)+(H46+H54)*0.04+275/Tabla25[[#Headers],[700]]/'CALCULADORA COSTES'!$B$15</f>
        <v>0.88433922077922089</v>
      </c>
      <c r="I62" s="55">
        <f>(I46+I54)+(I46+I54)*0.04+275/Tabla25[[#Headers],[800]]/'CALCULADORA COSTES'!$B$15</f>
        <v>1.0057759090909091</v>
      </c>
      <c r="J62" s="55">
        <f>(J46+J54)+(J46+J54)*0.04+275/Tabla25[[#Headers],[900]]/'CALCULADORA COSTES'!$B$15</f>
        <v>0.94012969696969695</v>
      </c>
      <c r="K62" s="55">
        <f>(K46+K54)+(K46+K54)*0.04+275/Tabla25[[#Headers],[1000]]/'CALCULADORA COSTES'!$B$15</f>
        <v>0.88761272727272722</v>
      </c>
      <c r="L62" s="55">
        <f>(L46+L54)+(L46+L54)*0.04+275/Tabla25[[#Headers],[1100]]/'CALCULADORA COSTES'!$B$15</f>
        <v>0.84464429752066117</v>
      </c>
      <c r="M62" s="55">
        <f>(M46+M54)+(M46+M54)*0.04+275/Tabla25[[#Headers],[1200]]/'CALCULADORA COSTES'!$B$15</f>
        <v>0.80883727272727279</v>
      </c>
    </row>
    <row r="63" spans="1:13" x14ac:dyDescent="0.25">
      <c r="A63" t="s">
        <v>48</v>
      </c>
      <c r="B63" s="55">
        <f>(B47+B55)+(B47+B55)*0.04+275/Tabla25[[#Headers],[100]]/'CALCULADORA COSTES'!$B$15</f>
        <v>6.0289854545454542</v>
      </c>
      <c r="C63" s="55">
        <f>(C47+C55)+(C47+C55)*0.04+275/Tabla25[[#Headers],[200]]/'CALCULADORA COSTES'!$B$15</f>
        <v>3.3530127272727275</v>
      </c>
      <c r="D63" s="55">
        <f>(D47+D55)+(D47+D55)*0.04+275/Tabla25[[#Headers],[300]]/'CALCULADORA COSTES'!$B$15</f>
        <v>2.461021818181818</v>
      </c>
      <c r="E63" s="55">
        <f>(E47+E55)+(E47+E55)*0.04+275/Tabla25[[#Headers],[400]]/'CALCULADORA COSTES'!$B$15</f>
        <v>2.0150263636363634</v>
      </c>
      <c r="F63" s="55">
        <f>(F47+F55)+(F47+F55)*0.04+275/Tabla25[[#Headers],[500]]/'CALCULADORA COSTES'!$B$15</f>
        <v>1.7474290909090906</v>
      </c>
      <c r="G63" s="55">
        <f>(G47+G55)+(G47+G55)*0.04+275/Tabla25[[#Headers],[600]]/'CALCULADORA COSTES'!$B$15</f>
        <v>1.5690309090909091</v>
      </c>
      <c r="H63" s="55">
        <f>(H47+H55)+(H47+H55)*0.04+275/Tabla25[[#Headers],[700]]/'CALCULADORA COSTES'!$B$15</f>
        <v>1.4416036363636362</v>
      </c>
      <c r="I63" s="55">
        <f>(I47+I55)+(I47+I55)*0.04+275/Tabla25[[#Headers],[800]]/'CALCULADORA COSTES'!$B$15</f>
        <v>1.5261422727272729</v>
      </c>
      <c r="J63" s="55">
        <f>(J47+J55)+(J47+J55)*0.04+275/Tabla25[[#Headers],[900]]/'CALCULADORA COSTES'!$B$15</f>
        <v>1.4317975757575756</v>
      </c>
      <c r="K63" s="55">
        <f>(K47+K55)+(K47+K55)*0.04+275/Tabla25[[#Headers],[1000]]/'CALCULADORA COSTES'!$B$15</f>
        <v>1.3563218181818182</v>
      </c>
      <c r="L63" s="55">
        <f>(L47+L55)+(L47+L55)*0.04+275/Tabla25[[#Headers],[1100]]/'CALCULADORA COSTES'!$B$15</f>
        <v>1.2945689256198347</v>
      </c>
      <c r="M63" s="55">
        <f>(M47+M55)+(M47+M55)*0.04+275/Tabla25[[#Headers],[1200]]/'CALCULADORA COSTES'!$B$15</f>
        <v>1.2431081818181817</v>
      </c>
    </row>
    <row r="64" spans="1:13" x14ac:dyDescent="0.25">
      <c r="A64" t="s">
        <v>263</v>
      </c>
      <c r="B64" s="55">
        <f>(B48+B56)+(B48+B56)*0.04+275/Tabla25[[#Headers],[100]]/'CALCULADORA COSTES'!$B$15</f>
        <v>4.7696305454545449</v>
      </c>
      <c r="C64" s="55">
        <f>(C48+C56)+(C48+C56)*0.04+275/Tabla25[[#Headers],[200]]/'CALCULADORA COSTES'!$B$15</f>
        <v>2.614603272727273</v>
      </c>
      <c r="D64" s="55">
        <f>(D48+D56)+(D48+D56)*0.04+275/Tabla25[[#Headers],[300]]/'CALCULADORA COSTES'!$B$15</f>
        <v>1.8962608484848484</v>
      </c>
      <c r="E64" s="55">
        <f>(E48+E56)+(E48+E56)*0.04+275/Tabla25[[#Headers],[400]]/'CALCULADORA COSTES'!$B$15</f>
        <v>1.5370896363636364</v>
      </c>
      <c r="F64" s="55">
        <f>(F48+F56)+(F48+F56)*0.04+275/Tabla25[[#Headers],[500]]/'CALCULADORA COSTES'!$B$15</f>
        <v>1.3215869090909089</v>
      </c>
      <c r="G64" s="55">
        <f>(G48+G56)+(G48+G56)*0.04+275/Tabla25[[#Headers],[600]]/'CALCULADORA COSTES'!$B$15</f>
        <v>1.1779184242424241</v>
      </c>
      <c r="H64" s="55">
        <f>(H48+H56)+(H48+H56)*0.04+275/Tabla25[[#Headers],[700]]/'CALCULADORA COSTES'!$B$15</f>
        <v>1.075298077922078</v>
      </c>
      <c r="I64" s="55">
        <f>(I48+I56)+(I48+I56)*0.04+275/Tabla25[[#Headers],[800]]/'CALCULADORA COSTES'!$B$15</f>
        <v>1.1784419090909091</v>
      </c>
      <c r="J64" s="55">
        <f>(J48+J56)+(J48+J56)*0.04+275/Tabla25[[#Headers],[900]]/'CALCULADORA COSTES'!$B$15</f>
        <v>1.0985679191919191</v>
      </c>
      <c r="K64" s="55">
        <f>(K48+K56)+(K48+K56)*0.04+275/Tabla25[[#Headers],[1000]]/'CALCULADORA COSTES'!$B$15</f>
        <v>1.0346687272727273</v>
      </c>
      <c r="L64" s="55">
        <f>(L48+L56)+(L48+L56)*0.04+275/Tabla25[[#Headers],[1100]]/'CALCULADORA COSTES'!$B$15</f>
        <v>0.98238757024793388</v>
      </c>
      <c r="M64" s="55">
        <f>(M48+M56)+(M48+M56)*0.04+275/Tabla25[[#Headers],[1200]]/'CALCULADORA COSTES'!$B$15</f>
        <v>0.93881993939393948</v>
      </c>
    </row>
    <row r="65" spans="1:13" x14ac:dyDescent="0.25">
      <c r="A65" t="s">
        <v>49</v>
      </c>
      <c r="B65" s="55">
        <f>(B49+B57)+(B49+B57)*0.04+275/Tabla25[[#Headers],[100]]/'CALCULADORA COSTES'!$B$15</f>
        <v>4.0441738181818181</v>
      </c>
      <c r="C65" s="55">
        <f>(C49+C57)+(C49+C57)*0.04+275/Tabla25[[#Headers],[200]]/'CALCULADORA COSTES'!$B$15</f>
        <v>2.2663829090909089</v>
      </c>
      <c r="D65" s="55">
        <f>(D49+D57)+(D49+D57)*0.04+275/Tabla25[[#Headers],[300]]/'CALCULADORA COSTES'!$B$15</f>
        <v>1.6737859393939394</v>
      </c>
      <c r="E65" s="55">
        <f>(E49+E57)+(E49+E57)*0.04+275/Tabla25[[#Headers],[400]]/'CALCULADORA COSTES'!$B$15</f>
        <v>1.3774874545454545</v>
      </c>
      <c r="F65" s="55">
        <f>(F49+F57)+(F49+F57)*0.04+275/Tabla25[[#Headers],[500]]/'CALCULADORA COSTES'!$B$15</f>
        <v>1.1997083636363635</v>
      </c>
      <c r="G65" s="55">
        <f>(G49+G57)+(G49+G57)*0.04+275/Tabla25[[#Headers],[600]]/'CALCULADORA COSTES'!$B$15</f>
        <v>1.0811889696969696</v>
      </c>
      <c r="H65" s="55">
        <f>(H49+H57)+(H49+H57)*0.04+275/Tabla25[[#Headers],[700]]/'CALCULADORA COSTES'!$B$15</f>
        <v>0.99653225974025983</v>
      </c>
      <c r="I65" s="55">
        <f>(I49+I57)+(I49+I57)*0.04+275/Tabla25[[#Headers],[800]]/'CALCULADORA COSTES'!$B$15</f>
        <v>1.1131488181818181</v>
      </c>
      <c r="J65" s="55">
        <f>(J49+J57)+(J49+J57)*0.04+275/Tabla25[[#Headers],[900]]/'CALCULADORA COSTES'!$B$15</f>
        <v>1.0437536161616161</v>
      </c>
      <c r="K65" s="55">
        <f>(K49+K57)+(K49+K57)*0.04+275/Tabla25[[#Headers],[1000]]/'CALCULADORA COSTES'!$B$15</f>
        <v>0.98823745454545464</v>
      </c>
      <c r="L65" s="55">
        <f>(L49+L57)+(L49+L57)*0.04+275/Tabla25[[#Headers],[1100]]/'CALCULADORA COSTES'!$B$15</f>
        <v>0.94281514049586779</v>
      </c>
      <c r="M65" s="55">
        <f>(M49+M57)+(M49+M57)*0.04+275/Tabla25[[#Headers],[1200]]/'CALCULADORA COSTES'!$B$15</f>
        <v>0.90496321212121211</v>
      </c>
    </row>
    <row r="66" spans="1:13" x14ac:dyDescent="0.25">
      <c r="A66" t="s">
        <v>103</v>
      </c>
      <c r="B66" s="55">
        <f>(B50+B58)+(B50+B58)*0.04+275/Tabla25[[#Headers],[100]]/'CALCULADORA COSTES'!$B$15</f>
        <v>4.0716298181818189</v>
      </c>
      <c r="C66" s="55">
        <f>(C50+C58)+(C50+C58)*0.04+275/Tabla25[[#Headers],[200]]/'CALCULADORA COSTES'!$B$15</f>
        <v>2.2938389090909093</v>
      </c>
      <c r="D66" s="55">
        <f>(D50+D58)+(D50+D58)*0.04+275/Tabla25[[#Headers],[300]]/'CALCULADORA COSTES'!$B$15</f>
        <v>1.7012419393939395</v>
      </c>
      <c r="E66" s="55">
        <f>(E50+E58)+(E50+E58)*0.04+275/Tabla25[[#Headers],[400]]/'CALCULADORA COSTES'!$B$15</f>
        <v>1.4049434545454547</v>
      </c>
      <c r="F66" s="55">
        <f>(F50+F58)+(F50+F58)*0.04+275/Tabla25[[#Headers],[500]]/'CALCULADORA COSTES'!$B$15</f>
        <v>1.2271643636363636</v>
      </c>
      <c r="G66" s="55">
        <f>(G50+G58)+(G50+G58)*0.04+275/Tabla25[[#Headers],[600]]/'CALCULADORA COSTES'!$B$15</f>
        <v>1.1086449696969696</v>
      </c>
      <c r="H66" s="55">
        <f>(H50+H58)+(H50+H58)*0.04+275/Tabla25[[#Headers],[700]]/'CALCULADORA COSTES'!$B$15</f>
        <v>1.0239882597402596</v>
      </c>
      <c r="I66" s="55">
        <f>(I50+I58)+(I50+I58)*0.04+275/Tabla25[[#Headers],[800]]/'CALCULADORA COSTES'!$B$15</f>
        <v>1.140604818181818</v>
      </c>
      <c r="J66" s="55">
        <f>(J50+J58)+(J50+J58)*0.04+275/Tabla25[[#Headers],[900]]/'CALCULADORA COSTES'!$B$15</f>
        <v>1.071209616161616</v>
      </c>
      <c r="K66" s="55">
        <f>(K50+K58)+(K50+K58)*0.04+275/Tabla25[[#Headers],[1000]]/'CALCULADORA COSTES'!$B$15</f>
        <v>1.0156934545454543</v>
      </c>
      <c r="L66" s="55">
        <f>(L50+L58)+(L50+L58)*0.04+275/Tabla25[[#Headers],[1100]]/'CALCULADORA COSTES'!$B$15</f>
        <v>0.97027114049586771</v>
      </c>
      <c r="M66" s="55">
        <f>(M50+M58)+(M50+M58)*0.04+275/Tabla25[[#Headers],[1200]]/'CALCULADORA COSTES'!$B$15</f>
        <v>0.93241921212121193</v>
      </c>
    </row>
  </sheetData>
  <phoneticPr fontId="13" type="noConversion"/>
  <conditionalFormatting sqref="B37:M42">
    <cfRule type="cellIs" dxfId="33" priority="13" operator="equal">
      <formula>0</formula>
    </cfRule>
    <cfRule type="cellIs" dxfId="32" priority="14" operator="lessThan">
      <formula>0</formula>
    </cfRule>
    <cfRule type="cellIs" dxfId="31" priority="15" operator="greaterThan">
      <formula>0</formula>
    </cfRule>
  </conditionalFormatting>
  <conditionalFormatting sqref="G30">
    <cfRule type="cellIs" dxfId="30" priority="30" operator="greaterThan">
      <formula>0</formula>
    </cfRule>
    <cfRule type="cellIs" dxfId="29" priority="29" operator="lessThan">
      <formula>0</formula>
    </cfRule>
    <cfRule type="cellIs" dxfId="28" priority="28" operator="equal">
      <formula>0</formula>
    </cfRule>
    <cfRule type="cellIs" dxfId="27" priority="19" operator="between">
      <formula>0</formula>
      <formula>0.005</formula>
    </cfRule>
    <cfRule type="cellIs" dxfId="26" priority="20" operator="greaterThan">
      <formula>0</formula>
    </cfRule>
  </conditionalFormatting>
  <conditionalFormatting sqref="G32">
    <cfRule type="cellIs" dxfId="25" priority="25" operator="equal">
      <formula>0</formula>
    </cfRule>
    <cfRule type="cellIs" dxfId="24" priority="16" operator="greaterThan">
      <formula>0.01</formula>
    </cfRule>
    <cfRule type="cellIs" dxfId="23" priority="17" operator="between">
      <formula>0</formula>
      <formula>"0.5%"</formula>
    </cfRule>
    <cfRule type="cellIs" dxfId="22" priority="18" operator="between">
      <formula>0</formula>
      <formula>"0.5"</formula>
    </cfRule>
  </conditionalFormatting>
  <conditionalFormatting sqref="G34">
    <cfRule type="cellIs" dxfId="21" priority="23" operator="equal">
      <formula>0</formula>
    </cfRule>
  </conditionalFormatting>
  <conditionalFormatting sqref="G30:H30">
    <cfRule type="cellIs" dxfId="20" priority="5" operator="lessThan">
      <formula>0</formula>
    </cfRule>
  </conditionalFormatting>
  <conditionalFormatting sqref="G32:H32">
    <cfRule type="cellIs" dxfId="19" priority="3" operator="lessThan">
      <formula>0</formula>
    </cfRule>
    <cfRule type="cellIs" dxfId="18" priority="4" operator="greaterThan">
      <formula>0</formula>
    </cfRule>
  </conditionalFormatting>
  <conditionalFormatting sqref="G34:H34">
    <cfRule type="cellIs" dxfId="17" priority="1" operator="lessThan">
      <formula>0</formula>
    </cfRule>
    <cfRule type="cellIs" dxfId="16" priority="2" operator="greaterThan">
      <formula>0</formula>
    </cfRule>
  </conditionalFormatting>
  <conditionalFormatting sqref="H2">
    <cfRule type="cellIs" dxfId="15" priority="52" operator="equal">
      <formula>0</formula>
    </cfRule>
  </conditionalFormatting>
  <conditionalFormatting sqref="H2:H12">
    <cfRule type="cellIs" dxfId="14" priority="61" operator="between">
      <formula>0</formula>
      <formula>10</formula>
    </cfRule>
    <cfRule type="cellIs" dxfId="13" priority="59" operator="between">
      <formula>0</formula>
      <formula>-2</formula>
    </cfRule>
  </conditionalFormatting>
  <conditionalFormatting sqref="H7 H9:H12">
    <cfRule type="cellIs" dxfId="12" priority="60" operator="between">
      <formula>-10</formula>
      <formula>0</formula>
    </cfRule>
  </conditionalFormatting>
  <conditionalFormatting sqref="H30">
    <cfRule type="cellIs" dxfId="11" priority="8" operator="greaterThan">
      <formula>0</formula>
    </cfRule>
  </conditionalFormatting>
  <conditionalFormatting sqref="L2">
    <cfRule type="cellIs" dxfId="10" priority="46" operator="equal">
      <formula>0</formula>
    </cfRule>
    <cfRule type="cellIs" dxfId="9" priority="47" operator="between">
      <formula>0</formula>
      <formula>-2</formula>
    </cfRule>
    <cfRule type="cellIs" dxfId="8" priority="48" operator="between">
      <formula>0</formula>
      <formula>10</formula>
    </cfRule>
  </conditionalFormatting>
  <conditionalFormatting sqref="L2:L12">
    <cfRule type="cellIs" dxfId="7" priority="42" operator="equal">
      <formula>0</formula>
    </cfRule>
    <cfRule type="cellIs" dxfId="6" priority="43" operator="equal">
      <formula>1</formula>
    </cfRule>
    <cfRule type="cellIs" dxfId="5" priority="44" operator="between">
      <formula>0</formula>
      <formula>1</formula>
    </cfRule>
    <cfRule type="cellIs" dxfId="4" priority="45" operator="equal">
      <formula>1</formula>
    </cfRule>
  </conditionalFormatting>
  <conditionalFormatting sqref="R2">
    <cfRule type="cellIs" dxfId="3" priority="9" operator="equal">
      <formula>0</formula>
    </cfRule>
  </conditionalFormatting>
  <conditionalFormatting sqref="R2:R12">
    <cfRule type="cellIs" dxfId="2" priority="12" operator="between">
      <formula>0</formula>
      <formula>10</formula>
    </cfRule>
    <cfRule type="cellIs" dxfId="1" priority="10" operator="between">
      <formula>0</formula>
      <formula>-2</formula>
    </cfRule>
  </conditionalFormatting>
  <conditionalFormatting sqref="R7 R9:R12">
    <cfRule type="cellIs" dxfId="0" priority="11" operator="between">
      <formula>-10</formula>
      <formula>0</formula>
    </cfRule>
  </conditionalFormatting>
  <pageMargins left="0.7" right="0.7" top="0.75" bottom="0.75" header="0.3" footer="0.3"/>
  <pageSetup paperSize="9" orientation="portrait" verticalDpi="0" r:id="rId1"/>
  <headerFooter>
    <oddHeader>&amp;L&amp;"Aptos"&amp;8&amp;K0000FF [PRIVATE]&amp;1#_x000D_</oddHeader>
    <oddFooter>&amp;L_x000D_&amp;1#&amp;"Aptos"&amp;8&amp;K0000FF [PRIVATE]</oddFooter>
  </headerFooter>
  <ignoredErrors>
    <ignoredError sqref="C5:D5" formula="1"/>
  </ignoredErrors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316F-D282-4685-892A-FF010E65C638}">
  <dimension ref="A1:AL82"/>
  <sheetViews>
    <sheetView zoomScaleNormal="100" workbookViewId="0">
      <selection activeCell="A36" sqref="A36:XFD36"/>
    </sheetView>
  </sheetViews>
  <sheetFormatPr baseColWidth="10" defaultRowHeight="15" x14ac:dyDescent="0.25"/>
  <cols>
    <col min="1" max="1" width="24" customWidth="1"/>
    <col min="2" max="2" width="22.5703125" bestFit="1" customWidth="1"/>
    <col min="7" max="7" width="16.7109375" bestFit="1" customWidth="1"/>
    <col min="17" max="17" width="21.42578125" bestFit="1" customWidth="1"/>
  </cols>
  <sheetData>
    <row r="1" spans="1:38" x14ac:dyDescent="0.25">
      <c r="A1" s="150" t="s">
        <v>214</v>
      </c>
      <c r="N1" s="150" t="s">
        <v>213</v>
      </c>
      <c r="AA1" s="150" t="s">
        <v>210</v>
      </c>
    </row>
    <row r="2" spans="1:38" x14ac:dyDescent="0.25">
      <c r="A2" s="142" t="s">
        <v>216</v>
      </c>
      <c r="B2" s="147">
        <v>0</v>
      </c>
      <c r="C2" s="147">
        <v>10</v>
      </c>
      <c r="D2" s="147">
        <v>20</v>
      </c>
      <c r="E2" s="147">
        <v>30</v>
      </c>
      <c r="F2" s="147">
        <v>40</v>
      </c>
      <c r="G2" s="147">
        <v>50</v>
      </c>
      <c r="H2" s="147">
        <v>60</v>
      </c>
      <c r="I2" s="147">
        <v>70</v>
      </c>
      <c r="J2" s="147">
        <v>80</v>
      </c>
      <c r="K2" s="147">
        <v>90</v>
      </c>
      <c r="L2" s="147">
        <v>100</v>
      </c>
      <c r="N2" s="142" t="s">
        <v>209</v>
      </c>
      <c r="O2" s="147">
        <v>0</v>
      </c>
      <c r="P2" s="147">
        <v>10</v>
      </c>
      <c r="Q2" s="147">
        <v>20</v>
      </c>
      <c r="R2" s="147">
        <v>30</v>
      </c>
      <c r="S2" s="147">
        <v>40</v>
      </c>
      <c r="T2" s="147">
        <v>50</v>
      </c>
      <c r="U2" s="147">
        <v>60</v>
      </c>
      <c r="V2" s="147">
        <v>70</v>
      </c>
      <c r="W2" s="147">
        <v>80</v>
      </c>
      <c r="X2" s="147">
        <v>90</v>
      </c>
      <c r="Y2" s="147">
        <v>100</v>
      </c>
      <c r="AA2" s="147" t="s">
        <v>208</v>
      </c>
      <c r="AB2" s="147">
        <v>0</v>
      </c>
      <c r="AC2" s="147">
        <v>10</v>
      </c>
      <c r="AD2" s="147">
        <v>20</v>
      </c>
      <c r="AE2" s="147">
        <v>30</v>
      </c>
      <c r="AF2" s="147">
        <v>40</v>
      </c>
      <c r="AG2" s="147">
        <v>50</v>
      </c>
      <c r="AH2" s="147">
        <v>60</v>
      </c>
      <c r="AI2" s="147">
        <v>70</v>
      </c>
      <c r="AJ2" s="147">
        <v>80</v>
      </c>
      <c r="AK2" s="147">
        <v>90</v>
      </c>
      <c r="AL2" s="147">
        <v>100</v>
      </c>
    </row>
    <row r="3" spans="1:38" x14ac:dyDescent="0.25">
      <c r="A3" s="146">
        <v>100</v>
      </c>
      <c r="B3" s="151">
        <v>0.77</v>
      </c>
      <c r="C3" s="151">
        <v>0.78</v>
      </c>
      <c r="D3" s="151">
        <v>0.78</v>
      </c>
      <c r="E3" s="151">
        <v>0.79</v>
      </c>
      <c r="F3" s="151">
        <v>0.8</v>
      </c>
      <c r="G3" s="151">
        <v>0.8</v>
      </c>
      <c r="H3" s="151">
        <v>0.81</v>
      </c>
      <c r="I3" s="151">
        <v>0.82</v>
      </c>
      <c r="J3" s="151">
        <v>0.82</v>
      </c>
      <c r="K3" s="151">
        <v>0.83</v>
      </c>
      <c r="L3" s="151">
        <v>0.84</v>
      </c>
      <c r="N3" s="146">
        <v>100</v>
      </c>
      <c r="O3" s="151">
        <v>0.15</v>
      </c>
      <c r="P3" s="151">
        <v>0.15</v>
      </c>
      <c r="Q3" s="151">
        <v>0.15</v>
      </c>
      <c r="R3" s="151">
        <v>0.16</v>
      </c>
      <c r="S3" s="151">
        <v>0.16</v>
      </c>
      <c r="T3" s="151">
        <v>0.17</v>
      </c>
      <c r="U3" s="151">
        <v>0.17</v>
      </c>
      <c r="V3" s="151">
        <v>0.17</v>
      </c>
      <c r="W3" s="151">
        <v>0.18</v>
      </c>
      <c r="X3" s="151">
        <v>0.18</v>
      </c>
      <c r="Y3" s="151">
        <v>0.19</v>
      </c>
      <c r="AA3" s="146">
        <v>100</v>
      </c>
      <c r="AB3" s="155">
        <v>0</v>
      </c>
      <c r="AC3" s="153">
        <v>0.01</v>
      </c>
      <c r="AD3" s="153">
        <v>0.03</v>
      </c>
      <c r="AE3" s="153">
        <v>0.04</v>
      </c>
      <c r="AF3" s="153">
        <v>0.05</v>
      </c>
      <c r="AG3" s="153">
        <v>0.06</v>
      </c>
      <c r="AH3" s="153">
        <v>0.08</v>
      </c>
      <c r="AI3" s="153">
        <v>0.09</v>
      </c>
      <c r="AJ3" s="153">
        <v>0.1</v>
      </c>
      <c r="AK3" s="153">
        <v>0.11</v>
      </c>
      <c r="AL3" s="153">
        <v>0.13</v>
      </c>
    </row>
    <row r="4" spans="1:38" x14ac:dyDescent="0.25">
      <c r="A4" s="146">
        <v>200</v>
      </c>
      <c r="B4" s="151">
        <v>0.67</v>
      </c>
      <c r="C4" s="151">
        <v>0.68</v>
      </c>
      <c r="D4" s="151">
        <v>0.69</v>
      </c>
      <c r="E4" s="151">
        <v>0.7</v>
      </c>
      <c r="F4" s="151">
        <v>0.71</v>
      </c>
      <c r="G4" s="151">
        <v>0.73</v>
      </c>
      <c r="H4" s="151">
        <v>0.74</v>
      </c>
      <c r="I4" s="151">
        <v>0.75</v>
      </c>
      <c r="J4" s="151">
        <v>0.76</v>
      </c>
      <c r="K4" s="151">
        <v>0.78</v>
      </c>
      <c r="L4" s="151">
        <v>0.79</v>
      </c>
      <c r="N4" s="146">
        <v>200</v>
      </c>
      <c r="O4" s="151">
        <v>0.11</v>
      </c>
      <c r="P4" s="151">
        <v>0.11</v>
      </c>
      <c r="Q4" s="151">
        <v>0.12</v>
      </c>
      <c r="R4" s="151">
        <v>0.13</v>
      </c>
      <c r="S4" s="151">
        <v>0.13</v>
      </c>
      <c r="T4" s="151">
        <v>0.14000000000000001</v>
      </c>
      <c r="U4" s="151">
        <v>0.15</v>
      </c>
      <c r="V4" s="151">
        <v>0.16</v>
      </c>
      <c r="W4" s="151">
        <v>0.16</v>
      </c>
      <c r="X4" s="151">
        <v>0.17</v>
      </c>
      <c r="Y4" s="151">
        <v>0.18</v>
      </c>
      <c r="AA4" s="146">
        <v>200</v>
      </c>
      <c r="AB4" s="155">
        <v>0</v>
      </c>
      <c r="AC4" s="149">
        <v>0.02</v>
      </c>
      <c r="AD4" s="149">
        <v>0.05</v>
      </c>
      <c r="AE4" s="149">
        <v>7.0000000000000007E-2</v>
      </c>
      <c r="AF4" s="149">
        <v>0.09</v>
      </c>
      <c r="AG4" s="149">
        <v>0.12</v>
      </c>
      <c r="AH4" s="149">
        <v>0.14000000000000001</v>
      </c>
      <c r="AI4" s="149">
        <v>0.16</v>
      </c>
      <c r="AJ4" s="149">
        <v>0.18</v>
      </c>
      <c r="AK4" s="149">
        <v>0.21</v>
      </c>
      <c r="AL4" s="149">
        <v>0.23</v>
      </c>
    </row>
    <row r="5" spans="1:38" x14ac:dyDescent="0.25">
      <c r="A5" s="146">
        <v>300</v>
      </c>
      <c r="B5" s="151">
        <v>0.57999999999999996</v>
      </c>
      <c r="C5" s="151">
        <v>0.59</v>
      </c>
      <c r="D5" s="151">
        <v>0.61</v>
      </c>
      <c r="E5" s="151">
        <v>0.63</v>
      </c>
      <c r="F5" s="151">
        <v>0.64</v>
      </c>
      <c r="G5" s="151">
        <v>0.66</v>
      </c>
      <c r="H5" s="151">
        <v>0.68</v>
      </c>
      <c r="I5" s="151">
        <v>0.7</v>
      </c>
      <c r="J5" s="151">
        <v>0.71</v>
      </c>
      <c r="K5" s="151">
        <v>0.73</v>
      </c>
      <c r="L5" s="151">
        <v>0.75</v>
      </c>
      <c r="N5" s="146">
        <v>300</v>
      </c>
      <c r="O5" s="151">
        <v>7.0000000000000007E-2</v>
      </c>
      <c r="P5" s="151">
        <v>0.08</v>
      </c>
      <c r="Q5" s="151">
        <v>0.09</v>
      </c>
      <c r="R5" s="151">
        <v>0.1</v>
      </c>
      <c r="S5" s="151">
        <v>0.11</v>
      </c>
      <c r="T5" s="151">
        <v>0.12</v>
      </c>
      <c r="U5" s="151">
        <v>0.13</v>
      </c>
      <c r="V5" s="151">
        <v>0.14000000000000001</v>
      </c>
      <c r="W5" s="151">
        <v>0.15</v>
      </c>
      <c r="X5" s="151">
        <v>0.16</v>
      </c>
      <c r="Y5" s="151">
        <v>0.17</v>
      </c>
      <c r="AA5" s="146">
        <v>300</v>
      </c>
      <c r="AB5" s="155">
        <v>0</v>
      </c>
      <c r="AC5" s="149">
        <v>0.03</v>
      </c>
      <c r="AD5" s="149">
        <v>0.06</v>
      </c>
      <c r="AE5" s="149">
        <v>0.1</v>
      </c>
      <c r="AF5" s="149">
        <v>0.13</v>
      </c>
      <c r="AG5" s="149">
        <v>0.16</v>
      </c>
      <c r="AH5" s="149">
        <v>0.19</v>
      </c>
      <c r="AI5" s="149">
        <v>0.22</v>
      </c>
      <c r="AJ5" s="149">
        <v>0.26</v>
      </c>
      <c r="AK5" s="149">
        <v>0.28999999999999998</v>
      </c>
      <c r="AL5" s="149">
        <v>0.32</v>
      </c>
    </row>
    <row r="6" spans="1:38" x14ac:dyDescent="0.25">
      <c r="A6" s="146">
        <v>400</v>
      </c>
      <c r="B6" s="151">
        <v>0.5</v>
      </c>
      <c r="C6" s="151">
        <v>0.52</v>
      </c>
      <c r="D6" s="151">
        <v>0.54</v>
      </c>
      <c r="E6" s="151">
        <v>0.56000000000000005</v>
      </c>
      <c r="F6" s="151">
        <v>0.59</v>
      </c>
      <c r="G6" s="151">
        <v>0.61</v>
      </c>
      <c r="H6" s="151">
        <v>0.63</v>
      </c>
      <c r="I6" s="151">
        <v>0.65</v>
      </c>
      <c r="J6" s="151">
        <v>0.67</v>
      </c>
      <c r="K6" s="151">
        <v>0.69</v>
      </c>
      <c r="L6" s="151">
        <v>0.71</v>
      </c>
      <c r="N6" s="146">
        <v>400</v>
      </c>
      <c r="O6" s="151">
        <v>0.04</v>
      </c>
      <c r="P6" s="151">
        <v>0.05</v>
      </c>
      <c r="Q6" s="151">
        <v>7.0000000000000007E-2</v>
      </c>
      <c r="R6" s="151">
        <v>0.08</v>
      </c>
      <c r="S6" s="151">
        <v>0.09</v>
      </c>
      <c r="T6" s="151">
        <v>0.1</v>
      </c>
      <c r="U6" s="151">
        <v>0.12</v>
      </c>
      <c r="V6" s="151">
        <v>0.13</v>
      </c>
      <c r="W6" s="151">
        <v>0.14000000000000001</v>
      </c>
      <c r="X6" s="151">
        <v>0.15</v>
      </c>
      <c r="Y6" s="151">
        <v>0.17</v>
      </c>
      <c r="AA6" s="146">
        <v>400</v>
      </c>
      <c r="AB6" s="155">
        <v>0</v>
      </c>
      <c r="AC6" s="149">
        <v>0.04</v>
      </c>
      <c r="AD6" s="149">
        <v>0.08</v>
      </c>
      <c r="AE6" s="149">
        <v>0.12</v>
      </c>
      <c r="AF6" s="149">
        <v>0.16</v>
      </c>
      <c r="AG6" s="149">
        <v>0.2</v>
      </c>
      <c r="AH6" s="149">
        <v>0.24</v>
      </c>
      <c r="AI6" s="149">
        <v>0.28000000000000003</v>
      </c>
      <c r="AJ6" s="149">
        <v>0.32</v>
      </c>
      <c r="AK6" s="149">
        <v>0.36</v>
      </c>
      <c r="AL6" s="149">
        <v>0.4</v>
      </c>
    </row>
    <row r="7" spans="1:38" x14ac:dyDescent="0.25">
      <c r="A7" s="146">
        <v>500</v>
      </c>
      <c r="B7" s="151">
        <v>0.44</v>
      </c>
      <c r="C7" s="151">
        <v>0.46</v>
      </c>
      <c r="D7" s="151">
        <v>0.48</v>
      </c>
      <c r="E7" s="151">
        <v>0.51</v>
      </c>
      <c r="F7" s="151">
        <v>0.53</v>
      </c>
      <c r="G7" s="151">
        <v>0.56000000000000005</v>
      </c>
      <c r="H7" s="151">
        <v>0.57999999999999996</v>
      </c>
      <c r="I7" s="151">
        <v>0.61</v>
      </c>
      <c r="J7" s="151">
        <v>0.63</v>
      </c>
      <c r="K7" s="151">
        <v>0.66</v>
      </c>
      <c r="L7" s="151">
        <v>0.68</v>
      </c>
      <c r="N7" s="146">
        <v>500</v>
      </c>
      <c r="O7" s="151">
        <v>0.02</v>
      </c>
      <c r="P7" s="151">
        <v>0.03</v>
      </c>
      <c r="Q7" s="151">
        <v>0.04</v>
      </c>
      <c r="R7" s="151">
        <v>0.06</v>
      </c>
      <c r="S7" s="151">
        <v>7.0000000000000007E-2</v>
      </c>
      <c r="T7" s="151">
        <v>0.09</v>
      </c>
      <c r="U7" s="151">
        <v>0.1</v>
      </c>
      <c r="V7" s="151">
        <v>0.12</v>
      </c>
      <c r="W7" s="151">
        <v>0.13</v>
      </c>
      <c r="X7" s="151">
        <v>0.15</v>
      </c>
      <c r="Y7" s="151">
        <v>0.16</v>
      </c>
      <c r="AA7" s="146">
        <v>500</v>
      </c>
      <c r="AB7" s="155">
        <v>0</v>
      </c>
      <c r="AC7" s="149">
        <v>0.05</v>
      </c>
      <c r="AD7" s="149">
        <v>0.09</v>
      </c>
      <c r="AE7" s="149">
        <v>0.14000000000000001</v>
      </c>
      <c r="AF7" s="149">
        <v>0.18</v>
      </c>
      <c r="AG7" s="149">
        <v>0.23</v>
      </c>
      <c r="AH7" s="149">
        <v>0.28000000000000003</v>
      </c>
      <c r="AI7" s="149">
        <v>0.32</v>
      </c>
      <c r="AJ7" s="149">
        <v>0.37</v>
      </c>
      <c r="AK7" s="149">
        <v>0.42</v>
      </c>
      <c r="AL7" s="149">
        <v>0.46</v>
      </c>
    </row>
    <row r="8" spans="1:38" x14ac:dyDescent="0.25">
      <c r="A8" s="146">
        <v>600</v>
      </c>
      <c r="B8" s="151">
        <v>0.38</v>
      </c>
      <c r="C8" s="151">
        <v>0.41</v>
      </c>
      <c r="D8" s="151">
        <v>0.43</v>
      </c>
      <c r="E8" s="151">
        <v>0.46</v>
      </c>
      <c r="F8" s="151">
        <v>0.49</v>
      </c>
      <c r="G8" s="151">
        <v>0.52</v>
      </c>
      <c r="H8" s="151">
        <v>0.54</v>
      </c>
      <c r="I8" s="151">
        <v>0.56999999999999995</v>
      </c>
      <c r="J8" s="151">
        <v>0.6</v>
      </c>
      <c r="K8" s="151">
        <v>0.63</v>
      </c>
      <c r="L8" s="151">
        <v>0.65</v>
      </c>
      <c r="N8" s="146">
        <v>600</v>
      </c>
      <c r="O8" s="154">
        <v>-0.01</v>
      </c>
      <c r="P8" s="151">
        <v>0.01</v>
      </c>
      <c r="Q8" s="151">
        <v>0.03</v>
      </c>
      <c r="R8" s="151">
        <v>0.04</v>
      </c>
      <c r="S8" s="151">
        <v>0.06</v>
      </c>
      <c r="T8" s="151">
        <v>7.0000000000000007E-2</v>
      </c>
      <c r="U8" s="151">
        <v>0.09</v>
      </c>
      <c r="V8" s="151">
        <v>0.11</v>
      </c>
      <c r="W8" s="151">
        <v>0.12</v>
      </c>
      <c r="X8" s="151">
        <v>0.14000000000000001</v>
      </c>
      <c r="Y8" s="151">
        <v>0.16</v>
      </c>
      <c r="AA8" s="146">
        <v>600</v>
      </c>
      <c r="AB8" s="152">
        <v>0</v>
      </c>
      <c r="AC8" s="149">
        <v>0.05</v>
      </c>
      <c r="AD8" s="149">
        <v>0.1</v>
      </c>
      <c r="AE8" s="149">
        <v>0.16</v>
      </c>
      <c r="AF8" s="149">
        <v>0.21</v>
      </c>
      <c r="AG8" s="149">
        <v>0.26</v>
      </c>
      <c r="AH8" s="149">
        <v>0.31</v>
      </c>
      <c r="AI8" s="149">
        <v>0.36</v>
      </c>
      <c r="AJ8" s="149">
        <v>0.42</v>
      </c>
      <c r="AK8" s="149">
        <v>0.47</v>
      </c>
      <c r="AL8" s="149">
        <v>0.52</v>
      </c>
    </row>
    <row r="9" spans="1:38" x14ac:dyDescent="0.25">
      <c r="A9" s="146">
        <v>700</v>
      </c>
      <c r="B9" s="151">
        <v>0.33</v>
      </c>
      <c r="C9" s="151">
        <v>0.36</v>
      </c>
      <c r="D9" s="151">
        <v>0.39</v>
      </c>
      <c r="E9" s="151">
        <v>0.42</v>
      </c>
      <c r="F9" s="151">
        <v>0.45</v>
      </c>
      <c r="G9" s="151">
        <v>0.48</v>
      </c>
      <c r="H9" s="151">
        <v>0.51</v>
      </c>
      <c r="I9" s="151">
        <v>0.54</v>
      </c>
      <c r="J9" s="151">
        <v>0.56999999999999995</v>
      </c>
      <c r="K9" s="151">
        <v>0.6</v>
      </c>
      <c r="L9" s="151">
        <v>0.63</v>
      </c>
      <c r="N9" s="146">
        <v>700</v>
      </c>
      <c r="O9" s="154">
        <v>-0.03</v>
      </c>
      <c r="P9" s="154">
        <v>-0.01</v>
      </c>
      <c r="Q9" s="151">
        <v>0.01</v>
      </c>
      <c r="R9" s="151">
        <v>0.03</v>
      </c>
      <c r="S9" s="151">
        <v>0.05</v>
      </c>
      <c r="T9" s="151">
        <v>0.06</v>
      </c>
      <c r="U9" s="151">
        <v>0.08</v>
      </c>
      <c r="V9" s="151">
        <v>0.1</v>
      </c>
      <c r="W9" s="151">
        <v>0.12</v>
      </c>
      <c r="X9" s="151">
        <v>0.13</v>
      </c>
      <c r="Y9" s="151">
        <v>0.15</v>
      </c>
      <c r="AA9" s="146">
        <v>700</v>
      </c>
      <c r="AB9" s="152">
        <v>0</v>
      </c>
      <c r="AC9" s="149">
        <v>0.06</v>
      </c>
      <c r="AD9" s="149">
        <v>0.11</v>
      </c>
      <c r="AE9" s="149">
        <v>0.17</v>
      </c>
      <c r="AF9" s="149">
        <v>0.23</v>
      </c>
      <c r="AG9" s="149">
        <v>0.28999999999999998</v>
      </c>
      <c r="AH9" s="149">
        <v>0.34</v>
      </c>
      <c r="AI9" s="149">
        <v>0.4</v>
      </c>
      <c r="AJ9" s="149">
        <v>0.46</v>
      </c>
      <c r="AK9" s="149">
        <v>0.51</v>
      </c>
      <c r="AL9" s="149">
        <v>0.56999999999999995</v>
      </c>
    </row>
    <row r="10" spans="1:38" x14ac:dyDescent="0.25">
      <c r="A10" s="146">
        <v>800</v>
      </c>
      <c r="B10" s="151">
        <v>0.24</v>
      </c>
      <c r="C10" s="151">
        <v>0.27</v>
      </c>
      <c r="D10" s="151">
        <v>0.28999999999999998</v>
      </c>
      <c r="E10" s="151">
        <v>0.32</v>
      </c>
      <c r="F10" s="151">
        <v>0.34</v>
      </c>
      <c r="G10" s="151">
        <v>0.37</v>
      </c>
      <c r="H10" s="151">
        <v>0.39</v>
      </c>
      <c r="I10" s="151">
        <v>0.42</v>
      </c>
      <c r="J10" s="151">
        <v>0.45</v>
      </c>
      <c r="K10" s="151">
        <v>0.47</v>
      </c>
      <c r="L10" s="151">
        <v>0.5</v>
      </c>
      <c r="N10" s="146">
        <v>800</v>
      </c>
      <c r="O10" s="154">
        <v>-0.01</v>
      </c>
      <c r="P10" s="155">
        <v>0</v>
      </c>
      <c r="Q10" s="151">
        <v>0.02</v>
      </c>
      <c r="R10" s="151">
        <v>0.03</v>
      </c>
      <c r="S10" s="151">
        <v>0.05</v>
      </c>
      <c r="T10" s="151">
        <v>0.06</v>
      </c>
      <c r="U10" s="151">
        <v>0.08</v>
      </c>
      <c r="V10" s="151">
        <v>0.09</v>
      </c>
      <c r="W10" s="151">
        <v>0.11</v>
      </c>
      <c r="X10" s="151">
        <v>0.12</v>
      </c>
      <c r="Y10" s="151">
        <v>0.14000000000000001</v>
      </c>
      <c r="AA10" s="146">
        <v>800</v>
      </c>
      <c r="AB10" s="152">
        <v>0</v>
      </c>
      <c r="AC10" s="149">
        <v>0.05</v>
      </c>
      <c r="AD10" s="149">
        <v>0.1</v>
      </c>
      <c r="AE10" s="149">
        <v>0.14000000000000001</v>
      </c>
      <c r="AF10" s="149">
        <v>0.19</v>
      </c>
      <c r="AG10" s="149">
        <v>0.24</v>
      </c>
      <c r="AH10" s="149">
        <v>0.28999999999999998</v>
      </c>
      <c r="AI10" s="149">
        <v>0.34</v>
      </c>
      <c r="AJ10" s="149">
        <v>0.38</v>
      </c>
      <c r="AK10" s="149">
        <v>0.43</v>
      </c>
      <c r="AL10" s="149">
        <v>0.48</v>
      </c>
    </row>
    <row r="11" spans="1:38" x14ac:dyDescent="0.25">
      <c r="A11" s="146">
        <v>900</v>
      </c>
      <c r="B11" s="151">
        <v>0.21</v>
      </c>
      <c r="C11" s="151">
        <v>0.24</v>
      </c>
      <c r="D11" s="151">
        <v>0.27</v>
      </c>
      <c r="E11" s="151">
        <v>0.28999999999999998</v>
      </c>
      <c r="F11" s="151">
        <v>0.32</v>
      </c>
      <c r="G11" s="151">
        <v>0.35</v>
      </c>
      <c r="H11" s="151">
        <v>0.38</v>
      </c>
      <c r="I11" s="151">
        <v>0.4</v>
      </c>
      <c r="J11" s="151">
        <v>0.43</v>
      </c>
      <c r="K11" s="151">
        <v>0.46</v>
      </c>
      <c r="L11" s="151">
        <v>0.49</v>
      </c>
      <c r="N11" s="146">
        <v>900</v>
      </c>
      <c r="O11" s="154">
        <v>-0.03</v>
      </c>
      <c r="P11" s="154">
        <v>-0.01</v>
      </c>
      <c r="Q11" s="151">
        <v>0.01</v>
      </c>
      <c r="R11" s="151">
        <v>0.02</v>
      </c>
      <c r="S11" s="151">
        <v>0.04</v>
      </c>
      <c r="T11" s="151">
        <v>0.06</v>
      </c>
      <c r="U11" s="151">
        <v>7.0000000000000007E-2</v>
      </c>
      <c r="V11" s="151">
        <v>0.09</v>
      </c>
      <c r="W11" s="151">
        <v>0.1</v>
      </c>
      <c r="X11" s="151">
        <v>0.12</v>
      </c>
      <c r="Y11" s="151">
        <v>0.14000000000000001</v>
      </c>
      <c r="AA11" s="146">
        <v>900</v>
      </c>
      <c r="AB11" s="152">
        <v>0</v>
      </c>
      <c r="AC11" s="149">
        <v>0.05</v>
      </c>
      <c r="AD11" s="149">
        <v>0.1</v>
      </c>
      <c r="AE11" s="149">
        <v>0.16</v>
      </c>
      <c r="AF11" s="149">
        <v>0.21</v>
      </c>
      <c r="AG11" s="149">
        <v>0.26</v>
      </c>
      <c r="AH11" s="149">
        <v>0.31</v>
      </c>
      <c r="AI11" s="149">
        <v>0.36</v>
      </c>
      <c r="AJ11" s="149">
        <v>0.41</v>
      </c>
      <c r="AK11" s="149">
        <v>0.47</v>
      </c>
      <c r="AL11" s="149">
        <v>0.52</v>
      </c>
    </row>
    <row r="12" spans="1:38" x14ac:dyDescent="0.25">
      <c r="A12" s="146">
        <v>1000</v>
      </c>
      <c r="B12" s="151">
        <v>0.18</v>
      </c>
      <c r="C12" s="151">
        <v>0.21</v>
      </c>
      <c r="D12" s="151">
        <v>0.24</v>
      </c>
      <c r="E12" s="151">
        <v>0.27</v>
      </c>
      <c r="F12" s="151">
        <v>0.3</v>
      </c>
      <c r="G12" s="151">
        <v>0.33</v>
      </c>
      <c r="H12" s="151">
        <v>0.36</v>
      </c>
      <c r="I12" s="151">
        <v>0.39</v>
      </c>
      <c r="J12" s="151">
        <v>0.42</v>
      </c>
      <c r="K12" s="151">
        <v>0.45</v>
      </c>
      <c r="L12" s="151">
        <v>0.48</v>
      </c>
      <c r="N12" s="146">
        <v>1000</v>
      </c>
      <c r="O12" s="154">
        <v>-0.02</v>
      </c>
      <c r="P12" s="154">
        <v>-0.02</v>
      </c>
      <c r="Q12" s="155">
        <v>0</v>
      </c>
      <c r="R12" s="151">
        <v>0.01</v>
      </c>
      <c r="S12" s="151">
        <v>0.03</v>
      </c>
      <c r="T12" s="151">
        <v>0.05</v>
      </c>
      <c r="U12" s="151">
        <v>7.0000000000000007E-2</v>
      </c>
      <c r="V12" s="151">
        <v>0.08</v>
      </c>
      <c r="W12" s="151">
        <v>0.1</v>
      </c>
      <c r="X12" s="151">
        <v>0.12</v>
      </c>
      <c r="Y12" s="151">
        <v>0.13</v>
      </c>
      <c r="AA12" s="146">
        <v>1000</v>
      </c>
      <c r="AB12" s="152">
        <v>0</v>
      </c>
      <c r="AC12" s="149">
        <v>0.06</v>
      </c>
      <c r="AD12" s="149">
        <v>0.11</v>
      </c>
      <c r="AE12" s="149">
        <v>0.17</v>
      </c>
      <c r="AF12" s="149">
        <v>0.22</v>
      </c>
      <c r="AG12" s="149">
        <v>0.28000000000000003</v>
      </c>
      <c r="AH12" s="149">
        <v>0.33</v>
      </c>
      <c r="AI12" s="149">
        <v>0.39</v>
      </c>
      <c r="AJ12" s="149">
        <v>0.44</v>
      </c>
      <c r="AK12" s="149">
        <v>0.5</v>
      </c>
      <c r="AL12" s="149">
        <v>0.55000000000000004</v>
      </c>
    </row>
    <row r="13" spans="1:38" x14ac:dyDescent="0.25">
      <c r="A13" s="146">
        <v>1100</v>
      </c>
      <c r="B13" s="151">
        <v>0.16</v>
      </c>
      <c r="C13" s="151">
        <v>0.19</v>
      </c>
      <c r="D13" s="151">
        <v>0.22</v>
      </c>
      <c r="E13" s="151">
        <v>0.25</v>
      </c>
      <c r="F13" s="151">
        <v>0.28000000000000003</v>
      </c>
      <c r="G13" s="151">
        <v>0.31</v>
      </c>
      <c r="H13" s="151">
        <v>0.34</v>
      </c>
      <c r="I13" s="151">
        <v>0.37</v>
      </c>
      <c r="J13" s="151">
        <v>0.41</v>
      </c>
      <c r="K13" s="151">
        <v>0.44</v>
      </c>
      <c r="L13" s="151">
        <v>0.47</v>
      </c>
      <c r="N13" s="146">
        <v>1100</v>
      </c>
      <c r="O13" s="154">
        <v>-0.03</v>
      </c>
      <c r="P13" s="154">
        <v>-0.03</v>
      </c>
      <c r="Q13" s="154">
        <v>-0.01</v>
      </c>
      <c r="R13" s="155">
        <v>0</v>
      </c>
      <c r="S13" s="151">
        <v>0.02</v>
      </c>
      <c r="T13" s="151">
        <v>0.04</v>
      </c>
      <c r="U13" s="151">
        <v>0.06</v>
      </c>
      <c r="V13" s="151">
        <v>0.08</v>
      </c>
      <c r="W13" s="151">
        <v>0.1</v>
      </c>
      <c r="X13" s="151">
        <v>0.11</v>
      </c>
      <c r="Y13" s="151">
        <v>0.13</v>
      </c>
      <c r="AA13" s="146">
        <v>1100</v>
      </c>
      <c r="AB13" s="152">
        <v>0</v>
      </c>
      <c r="AC13" s="149">
        <v>0.06</v>
      </c>
      <c r="AD13" s="149">
        <v>0.12</v>
      </c>
      <c r="AE13" s="149">
        <v>0.18</v>
      </c>
      <c r="AF13" s="149">
        <v>0.23</v>
      </c>
      <c r="AG13" s="149">
        <v>0.28999999999999998</v>
      </c>
      <c r="AH13" s="149">
        <v>0.35</v>
      </c>
      <c r="AI13" s="149">
        <v>0.41</v>
      </c>
      <c r="AJ13" s="149">
        <v>0.47</v>
      </c>
      <c r="AK13" s="149">
        <v>0.53</v>
      </c>
      <c r="AL13" s="149">
        <v>0.57999999999999996</v>
      </c>
    </row>
    <row r="14" spans="1:38" x14ac:dyDescent="0.25">
      <c r="A14" s="146">
        <v>1200</v>
      </c>
      <c r="B14" s="151">
        <v>0.13</v>
      </c>
      <c r="C14" s="151">
        <v>0.17</v>
      </c>
      <c r="D14" s="151">
        <v>0.2</v>
      </c>
      <c r="E14" s="151">
        <v>0.23</v>
      </c>
      <c r="F14" s="151">
        <v>0.26</v>
      </c>
      <c r="G14" s="151">
        <v>0.3</v>
      </c>
      <c r="H14" s="151">
        <v>0.33</v>
      </c>
      <c r="I14" s="151">
        <v>0.36</v>
      </c>
      <c r="J14" s="151">
        <v>0.39</v>
      </c>
      <c r="K14" s="151">
        <v>0.43</v>
      </c>
      <c r="L14" s="151">
        <v>0.45</v>
      </c>
      <c r="N14" s="146">
        <v>1200</v>
      </c>
      <c r="O14" s="154">
        <v>-0.06</v>
      </c>
      <c r="P14" s="154">
        <v>-0.04</v>
      </c>
      <c r="Q14" s="154">
        <v>-0.02</v>
      </c>
      <c r="R14" s="155">
        <v>0</v>
      </c>
      <c r="S14" s="151">
        <v>0.02</v>
      </c>
      <c r="T14" s="151">
        <v>0.03</v>
      </c>
      <c r="U14" s="151">
        <v>0.05</v>
      </c>
      <c r="V14" s="151">
        <v>7.0000000000000007E-2</v>
      </c>
      <c r="W14" s="151">
        <v>0.09</v>
      </c>
      <c r="X14" s="151">
        <v>0.11</v>
      </c>
      <c r="Y14" s="151">
        <v>0.13</v>
      </c>
      <c r="AA14" s="146">
        <v>1200</v>
      </c>
      <c r="AB14" s="152">
        <v>0</v>
      </c>
      <c r="AC14" s="149">
        <v>0.06</v>
      </c>
      <c r="AD14" s="149">
        <v>0.12</v>
      </c>
      <c r="AE14" s="149">
        <v>0.18</v>
      </c>
      <c r="AF14" s="149">
        <v>0.25</v>
      </c>
      <c r="AG14" s="149">
        <v>0.31</v>
      </c>
      <c r="AH14" s="149">
        <v>0.37</v>
      </c>
      <c r="AI14" s="149">
        <v>0.43</v>
      </c>
      <c r="AJ14" s="149">
        <v>0.49</v>
      </c>
      <c r="AK14" s="149">
        <v>0.55000000000000004</v>
      </c>
      <c r="AL14" s="149">
        <v>0.61</v>
      </c>
    </row>
    <row r="15" spans="1:38" x14ac:dyDescent="0.25">
      <c r="A15" s="146">
        <v>1300</v>
      </c>
      <c r="B15" s="151">
        <v>0.11</v>
      </c>
      <c r="C15" s="151">
        <v>0.15</v>
      </c>
      <c r="D15" s="151">
        <v>0.18</v>
      </c>
      <c r="E15" s="151">
        <v>0.21</v>
      </c>
      <c r="F15" s="151">
        <v>0.25</v>
      </c>
      <c r="G15" s="151">
        <v>0.28000000000000003</v>
      </c>
      <c r="H15" s="151">
        <v>0.32</v>
      </c>
      <c r="I15" s="151">
        <v>0.35</v>
      </c>
      <c r="J15" s="151">
        <v>0.38</v>
      </c>
      <c r="K15" s="151">
        <v>0.42</v>
      </c>
      <c r="L15" s="151">
        <v>0.45</v>
      </c>
      <c r="N15" s="146">
        <v>1300</v>
      </c>
      <c r="O15" s="154">
        <v>-7.0000000000000007E-2</v>
      </c>
      <c r="P15" s="154">
        <v>-0.05</v>
      </c>
      <c r="Q15" s="154">
        <v>-0.03</v>
      </c>
      <c r="R15" s="154">
        <v>-0.01</v>
      </c>
      <c r="S15" s="151">
        <v>0.01</v>
      </c>
      <c r="T15" s="151">
        <v>0.03</v>
      </c>
      <c r="U15" s="151">
        <v>0.05</v>
      </c>
      <c r="V15" s="151">
        <v>7.0000000000000007E-2</v>
      </c>
      <c r="W15" s="151">
        <v>0.09</v>
      </c>
      <c r="X15" s="151">
        <v>0.11</v>
      </c>
      <c r="Y15" s="151">
        <v>0.13</v>
      </c>
      <c r="AA15" s="146">
        <v>1300</v>
      </c>
      <c r="AB15" s="152">
        <v>0</v>
      </c>
      <c r="AC15" s="149">
        <v>0.06</v>
      </c>
      <c r="AD15" s="149">
        <v>0.13</v>
      </c>
      <c r="AE15" s="149">
        <v>0.19</v>
      </c>
      <c r="AF15" s="149">
        <v>0.26</v>
      </c>
      <c r="AG15" s="149">
        <v>0.32</v>
      </c>
      <c r="AH15" s="149">
        <v>0.39</v>
      </c>
      <c r="AI15" s="149">
        <v>0.45</v>
      </c>
      <c r="AJ15" s="149">
        <v>0.51</v>
      </c>
      <c r="AK15" s="149">
        <v>0.57999999999999996</v>
      </c>
      <c r="AL15" s="149">
        <v>0.64</v>
      </c>
    </row>
    <row r="16" spans="1:38" x14ac:dyDescent="0.25">
      <c r="A16" s="146">
        <v>1400</v>
      </c>
      <c r="B16" s="151">
        <v>0.09</v>
      </c>
      <c r="C16" s="151">
        <v>0.13</v>
      </c>
      <c r="D16" s="151">
        <v>0.16</v>
      </c>
      <c r="E16" s="151">
        <v>0.2</v>
      </c>
      <c r="F16" s="151">
        <v>0.23</v>
      </c>
      <c r="G16" s="151">
        <v>0.27</v>
      </c>
      <c r="H16" s="151">
        <v>0.3</v>
      </c>
      <c r="I16" s="151">
        <v>0.34</v>
      </c>
      <c r="J16" s="151">
        <v>0.37</v>
      </c>
      <c r="K16" s="151">
        <v>0.41</v>
      </c>
      <c r="L16" s="151">
        <v>0.45</v>
      </c>
      <c r="N16" s="146">
        <v>1400</v>
      </c>
      <c r="O16" s="154">
        <v>-0.08</v>
      </c>
      <c r="P16" s="154">
        <v>-0.06</v>
      </c>
      <c r="Q16" s="154">
        <v>-0.04</v>
      </c>
      <c r="R16" s="154">
        <v>-0.02</v>
      </c>
      <c r="S16" s="155">
        <v>0</v>
      </c>
      <c r="T16" s="151">
        <v>0.02</v>
      </c>
      <c r="U16" s="151">
        <v>0.04</v>
      </c>
      <c r="V16" s="151">
        <v>7.0000000000000007E-2</v>
      </c>
      <c r="W16" s="151">
        <v>0.09</v>
      </c>
      <c r="X16" s="151">
        <v>0.11</v>
      </c>
      <c r="Y16" s="151">
        <v>0.13</v>
      </c>
      <c r="AA16" s="146">
        <v>1400</v>
      </c>
      <c r="AB16" s="152">
        <v>0</v>
      </c>
      <c r="AC16" s="149">
        <v>7.0000000000000007E-2</v>
      </c>
      <c r="AD16" s="149">
        <v>0.13</v>
      </c>
      <c r="AE16" s="149">
        <v>0.2</v>
      </c>
      <c r="AF16" s="149">
        <v>0.27</v>
      </c>
      <c r="AG16" s="149">
        <v>0.33</v>
      </c>
      <c r="AH16" s="149">
        <v>0.4</v>
      </c>
      <c r="AI16" s="149">
        <v>0.47</v>
      </c>
      <c r="AJ16" s="149">
        <v>0.53</v>
      </c>
      <c r="AK16" s="149">
        <v>0.6</v>
      </c>
      <c r="AL16" s="149">
        <v>0.67</v>
      </c>
    </row>
    <row r="18" spans="1:38" x14ac:dyDescent="0.25">
      <c r="A18" s="150" t="s">
        <v>215</v>
      </c>
      <c r="N18" s="150" t="s">
        <v>212</v>
      </c>
      <c r="AA18" s="150" t="s">
        <v>211</v>
      </c>
    </row>
    <row r="19" spans="1:38" x14ac:dyDescent="0.25">
      <c r="A19" s="142" t="s">
        <v>216</v>
      </c>
      <c r="B19" s="147">
        <v>0</v>
      </c>
      <c r="C19" s="147">
        <v>10</v>
      </c>
      <c r="D19" s="147">
        <v>20</v>
      </c>
      <c r="E19" s="147">
        <v>30</v>
      </c>
      <c r="F19" s="147">
        <v>40</v>
      </c>
      <c r="G19" s="147">
        <v>50</v>
      </c>
      <c r="H19" s="147">
        <v>60</v>
      </c>
      <c r="I19" s="147">
        <v>70</v>
      </c>
      <c r="J19" s="147">
        <v>80</v>
      </c>
      <c r="K19" s="147">
        <v>90</v>
      </c>
      <c r="L19" s="147">
        <v>100</v>
      </c>
      <c r="N19" s="142" t="s">
        <v>209</v>
      </c>
      <c r="O19" s="147">
        <v>0</v>
      </c>
      <c r="P19" s="147">
        <v>10</v>
      </c>
      <c r="Q19" s="147">
        <v>20</v>
      </c>
      <c r="R19" s="147">
        <v>30</v>
      </c>
      <c r="S19" s="147">
        <v>40</v>
      </c>
      <c r="T19" s="147">
        <v>50</v>
      </c>
      <c r="U19" s="147">
        <v>60</v>
      </c>
      <c r="V19" s="147">
        <v>70</v>
      </c>
      <c r="W19" s="147">
        <v>80</v>
      </c>
      <c r="X19" s="147">
        <v>90</v>
      </c>
      <c r="Y19" s="147">
        <v>100</v>
      </c>
      <c r="AA19" s="142" t="s">
        <v>208</v>
      </c>
      <c r="AB19" s="147">
        <v>0</v>
      </c>
      <c r="AC19" s="147">
        <v>10</v>
      </c>
      <c r="AD19" s="147">
        <v>20</v>
      </c>
      <c r="AE19" s="147">
        <v>30</v>
      </c>
      <c r="AF19" s="147">
        <v>40</v>
      </c>
      <c r="AG19" s="147">
        <v>50</v>
      </c>
      <c r="AH19" s="147">
        <v>60</v>
      </c>
      <c r="AI19" s="147">
        <v>70</v>
      </c>
      <c r="AJ19" s="147">
        <v>80</v>
      </c>
      <c r="AK19" s="147">
        <v>90</v>
      </c>
      <c r="AL19" s="147">
        <v>100</v>
      </c>
    </row>
    <row r="20" spans="1:38" x14ac:dyDescent="0.25">
      <c r="A20" s="146">
        <v>100</v>
      </c>
      <c r="B20" s="148">
        <v>-0.02</v>
      </c>
      <c r="C20" s="148">
        <v>-0.02</v>
      </c>
      <c r="D20" s="148">
        <v>-0.01</v>
      </c>
      <c r="E20" s="148">
        <v>-0.01</v>
      </c>
      <c r="F20" s="151">
        <v>0</v>
      </c>
      <c r="G20" s="151">
        <v>0</v>
      </c>
      <c r="H20" s="151">
        <v>0.01</v>
      </c>
      <c r="I20" s="151">
        <v>0.01</v>
      </c>
      <c r="J20" s="151">
        <v>0.02</v>
      </c>
      <c r="K20" s="151">
        <v>0.02</v>
      </c>
      <c r="L20" s="151">
        <v>0.03</v>
      </c>
      <c r="N20" s="146">
        <v>100</v>
      </c>
      <c r="O20" s="148">
        <v>-0.31</v>
      </c>
      <c r="P20" s="148">
        <v>-0.31</v>
      </c>
      <c r="Q20" s="154">
        <v>-0.31</v>
      </c>
      <c r="R20" s="154">
        <v>-0.31</v>
      </c>
      <c r="S20" s="154">
        <v>-0.3</v>
      </c>
      <c r="T20" s="154">
        <v>-0.3</v>
      </c>
      <c r="U20" s="154">
        <v>-0.3</v>
      </c>
      <c r="V20" s="154">
        <v>-0.3</v>
      </c>
      <c r="W20" s="154">
        <v>-0.28999999999999998</v>
      </c>
      <c r="X20" s="154">
        <v>-0.28999999999999998</v>
      </c>
      <c r="Y20" s="154">
        <v>-0.28999999999999998</v>
      </c>
      <c r="AA20" s="146">
        <v>100</v>
      </c>
      <c r="AB20" s="154">
        <v>-0.33</v>
      </c>
      <c r="AC20" s="154">
        <v>-0.33</v>
      </c>
      <c r="AD20" s="148">
        <v>-0.31</v>
      </c>
      <c r="AE20" s="148">
        <v>-0.3</v>
      </c>
      <c r="AF20" s="148">
        <v>-0.3</v>
      </c>
      <c r="AG20" s="148">
        <v>-0.28999999999999998</v>
      </c>
      <c r="AH20" s="148">
        <v>-0.28000000000000003</v>
      </c>
      <c r="AI20" s="148">
        <v>-0.27</v>
      </c>
      <c r="AJ20" s="148">
        <v>-0.26</v>
      </c>
      <c r="AK20" s="148">
        <v>-0.25</v>
      </c>
      <c r="AL20" s="148">
        <v>-0.24</v>
      </c>
    </row>
    <row r="21" spans="1:38" x14ac:dyDescent="0.25">
      <c r="A21" s="146">
        <v>200</v>
      </c>
      <c r="B21" s="148">
        <v>-7.0000000000000007E-2</v>
      </c>
      <c r="C21" s="148">
        <v>-0.06</v>
      </c>
      <c r="D21" s="148">
        <v>-0.05</v>
      </c>
      <c r="E21" s="148">
        <v>-0.04</v>
      </c>
      <c r="F21" s="148">
        <v>-0.04</v>
      </c>
      <c r="G21" s="148">
        <v>-0.03</v>
      </c>
      <c r="H21" s="148">
        <v>-0.02</v>
      </c>
      <c r="I21" s="148">
        <v>-0.01</v>
      </c>
      <c r="J21" s="148">
        <v>0</v>
      </c>
      <c r="K21" s="151">
        <v>0.01</v>
      </c>
      <c r="L21" s="151">
        <v>0.02</v>
      </c>
      <c r="N21" s="146">
        <v>200</v>
      </c>
      <c r="O21" s="154">
        <v>-0.33</v>
      </c>
      <c r="P21" s="154">
        <v>-0.33</v>
      </c>
      <c r="Q21" s="154">
        <v>-0.32</v>
      </c>
      <c r="R21" s="154">
        <v>-0.32</v>
      </c>
      <c r="S21" s="154">
        <v>-0.31</v>
      </c>
      <c r="T21" s="154">
        <v>-0.31</v>
      </c>
      <c r="U21" s="154">
        <v>-0.3</v>
      </c>
      <c r="V21" s="154">
        <v>-0.3</v>
      </c>
      <c r="W21" s="154">
        <v>-0.28999999999999998</v>
      </c>
      <c r="X21" s="154">
        <v>-0.28999999999999998</v>
      </c>
      <c r="Y21" s="154">
        <v>-0.28000000000000003</v>
      </c>
      <c r="AA21" s="146">
        <v>200</v>
      </c>
      <c r="AB21" s="148">
        <v>-0.33</v>
      </c>
      <c r="AC21" s="148">
        <v>-0.33</v>
      </c>
      <c r="AD21" s="148">
        <v>-0.28999999999999998</v>
      </c>
      <c r="AE21" s="148">
        <v>-0.28000000000000003</v>
      </c>
      <c r="AF21" s="148">
        <v>-0.26</v>
      </c>
      <c r="AG21" s="148">
        <v>-0.25</v>
      </c>
      <c r="AH21" s="148">
        <v>-0.23</v>
      </c>
      <c r="AI21" s="148">
        <v>-0.21</v>
      </c>
      <c r="AJ21" s="148">
        <v>-0.2</v>
      </c>
      <c r="AK21" s="148">
        <v>-0.18</v>
      </c>
      <c r="AL21" s="148">
        <v>-0.16</v>
      </c>
    </row>
    <row r="22" spans="1:38" x14ac:dyDescent="0.25">
      <c r="A22" s="146">
        <v>300</v>
      </c>
      <c r="B22" s="148">
        <v>-0.11</v>
      </c>
      <c r="C22" s="148">
        <v>-0.1</v>
      </c>
      <c r="D22" s="148">
        <v>-0.09</v>
      </c>
      <c r="E22" s="148">
        <v>-0.08</v>
      </c>
      <c r="F22" s="148">
        <v>-7.0000000000000007E-2</v>
      </c>
      <c r="G22" s="148">
        <v>-0.05</v>
      </c>
      <c r="H22" s="148">
        <v>-0.04</v>
      </c>
      <c r="I22" s="148">
        <v>-0.03</v>
      </c>
      <c r="J22" s="148">
        <v>-0.02</v>
      </c>
      <c r="K22" s="148">
        <v>-0.01</v>
      </c>
      <c r="L22" s="151">
        <v>0.01</v>
      </c>
      <c r="N22" s="146">
        <v>300</v>
      </c>
      <c r="O22" s="154">
        <v>-0.35</v>
      </c>
      <c r="P22" s="154">
        <v>-0.34</v>
      </c>
      <c r="Q22" s="154">
        <v>-0.33</v>
      </c>
      <c r="R22" s="154">
        <v>-0.33</v>
      </c>
      <c r="S22" s="154">
        <v>-0.32</v>
      </c>
      <c r="T22" s="154">
        <v>-0.31</v>
      </c>
      <c r="U22" s="154">
        <v>-0.3</v>
      </c>
      <c r="V22" s="154">
        <v>-0.3</v>
      </c>
      <c r="W22" s="154">
        <v>-0.28999999999999998</v>
      </c>
      <c r="X22" s="154">
        <v>-0.28000000000000003</v>
      </c>
      <c r="Y22" s="154">
        <v>-0.28000000000000003</v>
      </c>
      <c r="AA22" s="146">
        <v>300</v>
      </c>
      <c r="AB22" s="148">
        <v>-0.32</v>
      </c>
      <c r="AC22" s="148">
        <v>-0.3</v>
      </c>
      <c r="AD22" s="148">
        <v>-0.28000000000000003</v>
      </c>
      <c r="AE22" s="148">
        <v>-0.26</v>
      </c>
      <c r="AF22" s="148">
        <v>-0.23</v>
      </c>
      <c r="AG22" s="148">
        <v>-0.21</v>
      </c>
      <c r="AH22" s="148">
        <v>-0.19</v>
      </c>
      <c r="AI22" s="148">
        <v>-0.17</v>
      </c>
      <c r="AJ22" s="148">
        <v>-0.14000000000000001</v>
      </c>
      <c r="AK22" s="148">
        <v>-0.12</v>
      </c>
      <c r="AL22" s="148">
        <v>-0.1</v>
      </c>
    </row>
    <row r="23" spans="1:38" x14ac:dyDescent="0.25">
      <c r="A23" s="146">
        <v>400</v>
      </c>
      <c r="B23" s="148">
        <v>-0.15</v>
      </c>
      <c r="C23" s="148">
        <v>-0.13</v>
      </c>
      <c r="D23" s="148">
        <v>-0.12</v>
      </c>
      <c r="E23" s="148">
        <v>-0.1</v>
      </c>
      <c r="F23" s="148">
        <v>-0.09</v>
      </c>
      <c r="G23" s="148">
        <v>-0.08</v>
      </c>
      <c r="H23" s="148">
        <v>-0.06</v>
      </c>
      <c r="I23" s="148">
        <v>-0.05</v>
      </c>
      <c r="J23" s="148">
        <v>-0.03</v>
      </c>
      <c r="K23" s="148">
        <v>-0.02</v>
      </c>
      <c r="L23" s="148">
        <v>0</v>
      </c>
      <c r="N23" s="146">
        <v>400</v>
      </c>
      <c r="O23" s="154">
        <v>-0.36</v>
      </c>
      <c r="P23" s="154">
        <v>-0.35</v>
      </c>
      <c r="Q23" s="154">
        <v>-0.34</v>
      </c>
      <c r="R23" s="154">
        <v>-0.33</v>
      </c>
      <c r="S23" s="154">
        <v>-0.32</v>
      </c>
      <c r="T23" s="154">
        <v>-0.31</v>
      </c>
      <c r="U23" s="154">
        <v>-0.31</v>
      </c>
      <c r="V23" s="154">
        <v>-0.3</v>
      </c>
      <c r="W23" s="154">
        <v>-0.28999999999999998</v>
      </c>
      <c r="X23" s="154">
        <v>-0.28000000000000003</v>
      </c>
      <c r="Y23" s="154">
        <v>-0.27</v>
      </c>
      <c r="AA23" s="146">
        <v>400</v>
      </c>
      <c r="AB23" s="148">
        <v>-0.32</v>
      </c>
      <c r="AC23" s="148">
        <v>-0.28999999999999998</v>
      </c>
      <c r="AD23" s="148">
        <v>-0.26</v>
      </c>
      <c r="AE23" s="148">
        <v>-0.24</v>
      </c>
      <c r="AF23" s="148">
        <v>-0.21</v>
      </c>
      <c r="AG23" s="148">
        <v>-0.18</v>
      </c>
      <c r="AH23" s="148">
        <v>-0.15</v>
      </c>
      <c r="AI23" s="148">
        <v>-0.13</v>
      </c>
      <c r="AJ23" s="148">
        <v>-0.1</v>
      </c>
      <c r="AK23" s="148">
        <v>-7.0000000000000007E-2</v>
      </c>
      <c r="AL23" s="148">
        <v>-0.04</v>
      </c>
    </row>
    <row r="24" spans="1:38" x14ac:dyDescent="0.25">
      <c r="A24" s="146">
        <v>500</v>
      </c>
      <c r="B24" s="148">
        <v>-0.18</v>
      </c>
      <c r="C24" s="148">
        <v>-0.16</v>
      </c>
      <c r="D24" s="148">
        <v>-0.15</v>
      </c>
      <c r="E24" s="148">
        <v>-0.13</v>
      </c>
      <c r="F24" s="148">
        <v>-0.11</v>
      </c>
      <c r="G24" s="148">
        <v>-0.09</v>
      </c>
      <c r="H24" s="148">
        <v>-0.08</v>
      </c>
      <c r="I24" s="148">
        <v>-0.06</v>
      </c>
      <c r="J24" s="148">
        <v>-0.04</v>
      </c>
      <c r="K24" s="148">
        <v>-0.03</v>
      </c>
      <c r="L24" s="148">
        <v>-0.01</v>
      </c>
      <c r="N24" s="146">
        <v>500</v>
      </c>
      <c r="O24" s="154">
        <v>-0.37</v>
      </c>
      <c r="P24" s="154">
        <v>-0.36</v>
      </c>
      <c r="Q24" s="154">
        <v>-0.35</v>
      </c>
      <c r="R24" s="154">
        <v>-0.34</v>
      </c>
      <c r="S24" s="154">
        <v>-0.33</v>
      </c>
      <c r="T24" s="154">
        <v>-0.32</v>
      </c>
      <c r="U24" s="154">
        <v>-0.31</v>
      </c>
      <c r="V24" s="154">
        <v>-0.3</v>
      </c>
      <c r="W24" s="154">
        <v>-0.28999999999999998</v>
      </c>
      <c r="X24" s="154">
        <v>-0.28000000000000003</v>
      </c>
      <c r="Y24" s="154">
        <v>-0.27</v>
      </c>
      <c r="AA24" s="146">
        <v>500</v>
      </c>
      <c r="AB24" s="148">
        <v>-0.32</v>
      </c>
      <c r="AC24" s="148">
        <v>-0.28000000000000003</v>
      </c>
      <c r="AD24" s="148">
        <v>-0.25</v>
      </c>
      <c r="AE24" s="148">
        <v>-0.22</v>
      </c>
      <c r="AF24" s="148">
        <v>-0.19</v>
      </c>
      <c r="AG24" s="148">
        <v>-0.16</v>
      </c>
      <c r="AH24" s="148">
        <v>-0.12</v>
      </c>
      <c r="AI24" s="148">
        <v>-0.09</v>
      </c>
      <c r="AJ24" s="148">
        <v>-0.06</v>
      </c>
      <c r="AK24" s="148">
        <v>-0.03</v>
      </c>
      <c r="AL24" s="151">
        <v>0.01</v>
      </c>
    </row>
    <row r="25" spans="1:38" x14ac:dyDescent="0.25">
      <c r="A25" s="146">
        <v>600</v>
      </c>
      <c r="B25" s="148">
        <v>-0.21</v>
      </c>
      <c r="C25" s="148">
        <v>-0.19</v>
      </c>
      <c r="D25" s="148">
        <v>-0.17</v>
      </c>
      <c r="E25" s="148">
        <v>-0.15</v>
      </c>
      <c r="F25" s="148">
        <v>-0.13</v>
      </c>
      <c r="G25" s="148">
        <v>-0.11</v>
      </c>
      <c r="H25" s="148">
        <v>-0.09</v>
      </c>
      <c r="I25" s="148">
        <v>-7.0000000000000007E-2</v>
      </c>
      <c r="J25" s="148">
        <v>-0.05</v>
      </c>
      <c r="K25" s="148">
        <v>-0.03</v>
      </c>
      <c r="L25" s="148">
        <v>-0.01</v>
      </c>
      <c r="N25" s="146">
        <v>600</v>
      </c>
      <c r="O25" s="154">
        <v>-0.38</v>
      </c>
      <c r="P25" s="154">
        <v>-0.37</v>
      </c>
      <c r="Q25" s="154">
        <v>-0.36</v>
      </c>
      <c r="R25" s="154">
        <v>-0.34</v>
      </c>
      <c r="S25" s="154">
        <v>-0.33</v>
      </c>
      <c r="T25" s="154">
        <v>-0.32</v>
      </c>
      <c r="U25" s="154">
        <v>-0.31</v>
      </c>
      <c r="V25" s="154">
        <v>-0.3</v>
      </c>
      <c r="W25" s="154">
        <v>-0.28999999999999998</v>
      </c>
      <c r="X25" s="154">
        <v>-0.28000000000000003</v>
      </c>
      <c r="Y25" s="154">
        <v>-0.26</v>
      </c>
      <c r="AA25" s="146">
        <v>600</v>
      </c>
      <c r="AB25" s="148">
        <v>-0.31</v>
      </c>
      <c r="AC25" s="148">
        <v>-0.28000000000000003</v>
      </c>
      <c r="AD25" s="148">
        <v>-0.24</v>
      </c>
      <c r="AE25" s="148">
        <v>-0.21</v>
      </c>
      <c r="AF25" s="148">
        <v>-0.17</v>
      </c>
      <c r="AG25" s="148">
        <v>-0.13</v>
      </c>
      <c r="AH25" s="148">
        <v>-0.1</v>
      </c>
      <c r="AI25" s="148">
        <v>-0.06</v>
      </c>
      <c r="AJ25" s="148">
        <v>-0.02</v>
      </c>
      <c r="AK25" s="151">
        <v>0.01</v>
      </c>
      <c r="AL25" s="151">
        <v>0.05</v>
      </c>
    </row>
    <row r="26" spans="1:38" x14ac:dyDescent="0.25">
      <c r="A26" s="146">
        <v>700</v>
      </c>
      <c r="B26" s="148">
        <v>-0.23</v>
      </c>
      <c r="C26" s="148">
        <v>-0.21</v>
      </c>
      <c r="D26" s="148">
        <v>-0.19</v>
      </c>
      <c r="E26" s="148">
        <v>-0.17</v>
      </c>
      <c r="F26" s="148">
        <v>-0.15</v>
      </c>
      <c r="G26" s="148">
        <v>-0.13</v>
      </c>
      <c r="H26" s="148">
        <v>-0.1</v>
      </c>
      <c r="I26" s="148">
        <v>-0.08</v>
      </c>
      <c r="J26" s="148">
        <v>-0.06</v>
      </c>
      <c r="K26" s="148">
        <v>-0.04</v>
      </c>
      <c r="L26" s="148">
        <v>-0.02</v>
      </c>
      <c r="N26" s="146">
        <v>700</v>
      </c>
      <c r="O26" s="154">
        <v>-0.39</v>
      </c>
      <c r="P26" s="154">
        <v>-0.37</v>
      </c>
      <c r="Q26" s="154">
        <v>-0.36</v>
      </c>
      <c r="R26" s="154">
        <v>-0.35</v>
      </c>
      <c r="S26" s="154">
        <v>-0.34</v>
      </c>
      <c r="T26" s="154">
        <v>-0.32</v>
      </c>
      <c r="U26" s="154">
        <v>-0.31</v>
      </c>
      <c r="V26" s="154">
        <v>-0.3</v>
      </c>
      <c r="W26" s="154">
        <v>-0.28999999999999998</v>
      </c>
      <c r="X26" s="154">
        <v>-0.27</v>
      </c>
      <c r="Y26" s="154">
        <v>-0.26</v>
      </c>
      <c r="AA26" s="146">
        <v>700</v>
      </c>
      <c r="AB26" s="148">
        <v>-0.31</v>
      </c>
      <c r="AC26" s="148">
        <v>-0.27</v>
      </c>
      <c r="AD26" s="148">
        <v>-0.23</v>
      </c>
      <c r="AE26" s="148">
        <v>-0.19</v>
      </c>
      <c r="AF26" s="148">
        <v>-0.15</v>
      </c>
      <c r="AG26" s="148">
        <v>-0.11</v>
      </c>
      <c r="AH26" s="148">
        <v>-7.0000000000000007E-2</v>
      </c>
      <c r="AI26" s="148">
        <v>-0.03</v>
      </c>
      <c r="AJ26" s="151">
        <v>0.01</v>
      </c>
      <c r="AK26" s="151">
        <v>0.05</v>
      </c>
      <c r="AL26" s="151">
        <v>0.09</v>
      </c>
    </row>
    <row r="27" spans="1:38" x14ac:dyDescent="0.25">
      <c r="A27" s="146">
        <v>800</v>
      </c>
      <c r="B27" s="148">
        <v>-0.3</v>
      </c>
      <c r="C27" s="148">
        <v>-0.28000000000000003</v>
      </c>
      <c r="D27" s="148">
        <v>-0.26</v>
      </c>
      <c r="E27" s="148">
        <v>-0.24</v>
      </c>
      <c r="F27" s="148">
        <v>-0.22</v>
      </c>
      <c r="G27" s="148">
        <v>-0.21</v>
      </c>
      <c r="H27" s="148">
        <v>-0.19</v>
      </c>
      <c r="I27" s="148">
        <v>-0.17</v>
      </c>
      <c r="J27" s="148">
        <v>-0.15</v>
      </c>
      <c r="K27" s="148">
        <v>-0.14000000000000001</v>
      </c>
      <c r="L27" s="148">
        <v>-0.12</v>
      </c>
      <c r="N27" s="146">
        <v>800</v>
      </c>
      <c r="O27" s="154">
        <v>-0.41</v>
      </c>
      <c r="P27" s="154">
        <v>-0.4</v>
      </c>
      <c r="Q27" s="154">
        <v>-0.39</v>
      </c>
      <c r="R27" s="154">
        <v>-0.37</v>
      </c>
      <c r="S27" s="154">
        <v>-0.36</v>
      </c>
      <c r="T27" s="154">
        <v>-0.35</v>
      </c>
      <c r="U27" s="154">
        <v>-0.34</v>
      </c>
      <c r="V27" s="154">
        <v>-0.33</v>
      </c>
      <c r="W27" s="154">
        <v>-0.32</v>
      </c>
      <c r="X27" s="154">
        <v>-0.31</v>
      </c>
      <c r="Y27" s="154">
        <v>-0.3</v>
      </c>
      <c r="AA27" s="146">
        <v>800</v>
      </c>
      <c r="AB27" s="148">
        <v>-0.34</v>
      </c>
      <c r="AC27" s="148">
        <v>-0.31</v>
      </c>
      <c r="AD27" s="148">
        <v>-0.27</v>
      </c>
      <c r="AE27" s="148">
        <v>-0.24</v>
      </c>
      <c r="AF27" s="148">
        <v>-0.21</v>
      </c>
      <c r="AG27" s="148">
        <v>-0.17</v>
      </c>
      <c r="AH27" s="148">
        <v>-0.14000000000000001</v>
      </c>
      <c r="AI27" s="148">
        <v>-0.11</v>
      </c>
      <c r="AJ27" s="148">
        <v>-7.0000000000000007E-2</v>
      </c>
      <c r="AK27" s="148">
        <v>-0.04</v>
      </c>
      <c r="AL27" s="152">
        <v>0</v>
      </c>
    </row>
    <row r="28" spans="1:38" x14ac:dyDescent="0.25">
      <c r="A28" s="146">
        <v>900</v>
      </c>
      <c r="B28" s="148">
        <v>-0.31</v>
      </c>
      <c r="C28" s="148">
        <v>-0.28999999999999998</v>
      </c>
      <c r="D28" s="148">
        <v>-0.27</v>
      </c>
      <c r="E28" s="148">
        <v>-0.25</v>
      </c>
      <c r="F28" s="148">
        <v>-0.23</v>
      </c>
      <c r="G28" s="148">
        <v>-0.21</v>
      </c>
      <c r="H28" s="148">
        <v>-0.19</v>
      </c>
      <c r="I28" s="148">
        <v>-0.17</v>
      </c>
      <c r="J28" s="148">
        <v>-0.16</v>
      </c>
      <c r="K28" s="148">
        <v>-0.14000000000000001</v>
      </c>
      <c r="L28" s="148">
        <v>-0.12</v>
      </c>
      <c r="N28" s="146">
        <v>900</v>
      </c>
      <c r="O28" s="154">
        <v>-0.41</v>
      </c>
      <c r="P28" s="154">
        <v>-0.4</v>
      </c>
      <c r="Q28" s="154">
        <v>-0.39</v>
      </c>
      <c r="R28" s="154">
        <v>-0.38</v>
      </c>
      <c r="S28" s="154">
        <v>-0.37</v>
      </c>
      <c r="T28" s="154">
        <v>-0.35</v>
      </c>
      <c r="U28" s="154">
        <v>-0.34</v>
      </c>
      <c r="V28" s="154">
        <v>-0.33</v>
      </c>
      <c r="W28" s="154">
        <v>-0.32</v>
      </c>
      <c r="X28" s="154">
        <v>-0.31</v>
      </c>
      <c r="Y28" s="154">
        <v>-0.3</v>
      </c>
      <c r="AA28" s="146">
        <v>900</v>
      </c>
      <c r="AB28" s="148">
        <v>-0.34</v>
      </c>
      <c r="AC28" s="148">
        <v>-0.3</v>
      </c>
      <c r="AD28" s="148">
        <v>-0.27</v>
      </c>
      <c r="AE28" s="148">
        <v>-0.23</v>
      </c>
      <c r="AF28" s="148">
        <v>-0.19</v>
      </c>
      <c r="AG28" s="148">
        <v>-0.16</v>
      </c>
      <c r="AH28" s="148">
        <v>-0.12</v>
      </c>
      <c r="AI28" s="148">
        <v>-0.08</v>
      </c>
      <c r="AJ28" s="148">
        <v>-0.05</v>
      </c>
      <c r="AK28" s="148">
        <v>-0.01</v>
      </c>
      <c r="AL28" s="151">
        <v>0.02</v>
      </c>
    </row>
    <row r="29" spans="1:38" x14ac:dyDescent="0.25">
      <c r="A29" s="146">
        <v>1000</v>
      </c>
      <c r="B29" s="148">
        <v>-0.32</v>
      </c>
      <c r="C29" s="148">
        <v>-0.3</v>
      </c>
      <c r="D29" s="148">
        <v>-0.28000000000000003</v>
      </c>
      <c r="E29" s="148">
        <v>-0.26</v>
      </c>
      <c r="F29" s="148">
        <v>-0.24</v>
      </c>
      <c r="G29" s="148">
        <v>-0.22</v>
      </c>
      <c r="H29" s="148">
        <v>-0.2</v>
      </c>
      <c r="I29" s="148">
        <v>-0.18</v>
      </c>
      <c r="J29" s="148">
        <v>-0.16</v>
      </c>
      <c r="K29" s="148">
        <v>-0.14000000000000001</v>
      </c>
      <c r="L29" s="148">
        <v>-0.12</v>
      </c>
      <c r="N29" s="146">
        <v>1000</v>
      </c>
      <c r="O29" s="154">
        <v>-0.42</v>
      </c>
      <c r="P29" s="154">
        <v>-0.4</v>
      </c>
      <c r="Q29" s="154">
        <v>-0.39</v>
      </c>
      <c r="R29" s="154">
        <v>-0.38</v>
      </c>
      <c r="S29" s="154">
        <v>-0.37</v>
      </c>
      <c r="T29" s="154">
        <v>-0.35</v>
      </c>
      <c r="U29" s="154">
        <v>-0.34</v>
      </c>
      <c r="V29" s="154">
        <v>-0.33</v>
      </c>
      <c r="W29" s="154">
        <v>-0.32</v>
      </c>
      <c r="X29" s="154">
        <v>-0.31</v>
      </c>
      <c r="Y29" s="154">
        <v>-0.28999999999999998</v>
      </c>
      <c r="AA29" s="146">
        <v>1000</v>
      </c>
      <c r="AB29" s="148">
        <v>-0.34</v>
      </c>
      <c r="AC29" s="148">
        <v>-0.3</v>
      </c>
      <c r="AD29" s="148">
        <v>-0.26</v>
      </c>
      <c r="AE29" s="148">
        <v>-0.22</v>
      </c>
      <c r="AF29" s="148">
        <v>-0.18</v>
      </c>
      <c r="AG29" s="148">
        <v>-0.14000000000000001</v>
      </c>
      <c r="AH29" s="148">
        <v>-0.1</v>
      </c>
      <c r="AI29" s="148">
        <v>-7.0000000000000007E-2</v>
      </c>
      <c r="AJ29" s="148">
        <v>-0.03</v>
      </c>
      <c r="AK29" s="151">
        <v>0.01</v>
      </c>
      <c r="AL29" s="151">
        <v>0.05</v>
      </c>
    </row>
    <row r="30" spans="1:38" x14ac:dyDescent="0.25">
      <c r="A30" s="146">
        <v>1100</v>
      </c>
      <c r="B30" s="148">
        <v>-0.33</v>
      </c>
      <c r="C30" s="148">
        <v>-0.31</v>
      </c>
      <c r="D30" s="148">
        <v>-0.28999999999999998</v>
      </c>
      <c r="E30" s="148">
        <v>-0.27</v>
      </c>
      <c r="F30" s="148">
        <v>-0.25</v>
      </c>
      <c r="G30" s="148">
        <v>-0.22</v>
      </c>
      <c r="H30" s="148">
        <v>-0.2</v>
      </c>
      <c r="I30" s="148">
        <v>-0.18</v>
      </c>
      <c r="J30" s="148">
        <v>-0.16</v>
      </c>
      <c r="K30" s="148">
        <v>-0.14000000000000001</v>
      </c>
      <c r="L30" s="148">
        <v>-0.12</v>
      </c>
      <c r="N30" s="146">
        <v>1100</v>
      </c>
      <c r="O30" s="154">
        <v>-0.42</v>
      </c>
      <c r="P30" s="154">
        <v>-0.41</v>
      </c>
      <c r="Q30" s="154">
        <v>-0.39</v>
      </c>
      <c r="R30" s="154">
        <v>-0.38</v>
      </c>
      <c r="S30" s="154">
        <v>-0.37</v>
      </c>
      <c r="T30" s="154">
        <v>-0.35</v>
      </c>
      <c r="U30" s="154">
        <v>-0.34</v>
      </c>
      <c r="V30" s="154">
        <v>-0.33</v>
      </c>
      <c r="W30" s="154">
        <v>-0.32</v>
      </c>
      <c r="X30" s="154">
        <v>-0.3</v>
      </c>
      <c r="Y30" s="154">
        <v>-0.28999999999999998</v>
      </c>
      <c r="AA30" s="146">
        <v>1100</v>
      </c>
      <c r="AB30" s="148">
        <v>-0.33</v>
      </c>
      <c r="AC30" s="148">
        <v>-0.28999999999999998</v>
      </c>
      <c r="AD30" s="148">
        <v>-0.25</v>
      </c>
      <c r="AE30" s="148">
        <v>-0.21</v>
      </c>
      <c r="AF30" s="148">
        <v>-0.17</v>
      </c>
      <c r="AG30" s="148">
        <v>-0.13</v>
      </c>
      <c r="AH30" s="148">
        <v>-0.09</v>
      </c>
      <c r="AI30" s="148">
        <v>-0.05</v>
      </c>
      <c r="AJ30" s="148">
        <v>-0.01</v>
      </c>
      <c r="AK30" s="151">
        <v>0.03</v>
      </c>
      <c r="AL30" s="151">
        <v>0.08</v>
      </c>
    </row>
    <row r="31" spans="1:38" x14ac:dyDescent="0.25">
      <c r="A31" s="146">
        <v>1200</v>
      </c>
      <c r="B31" s="148">
        <v>-0.34</v>
      </c>
      <c r="C31" s="148">
        <v>-0.32</v>
      </c>
      <c r="D31" s="148">
        <v>-0.3</v>
      </c>
      <c r="E31" s="148">
        <v>-0.28000000000000003</v>
      </c>
      <c r="F31" s="148">
        <v>-0.25</v>
      </c>
      <c r="G31" s="148">
        <v>-0.23</v>
      </c>
      <c r="H31" s="148">
        <v>-0.21</v>
      </c>
      <c r="I31" s="148">
        <v>-0.18</v>
      </c>
      <c r="J31" s="148">
        <v>-0.16</v>
      </c>
      <c r="K31" s="148">
        <v>-0.14000000000000001</v>
      </c>
      <c r="L31" s="148">
        <v>-0.12</v>
      </c>
      <c r="N31" s="146">
        <v>1200</v>
      </c>
      <c r="O31" s="154">
        <v>-0.42</v>
      </c>
      <c r="P31" s="154">
        <v>-0.41</v>
      </c>
      <c r="Q31" s="154">
        <v>-0.4</v>
      </c>
      <c r="R31" s="154">
        <v>-0.38</v>
      </c>
      <c r="S31" s="154">
        <v>-0.37</v>
      </c>
      <c r="T31" s="154">
        <v>-0.36</v>
      </c>
      <c r="U31" s="154">
        <v>-0.34</v>
      </c>
      <c r="V31" s="154">
        <v>-0.33</v>
      </c>
      <c r="W31" s="154">
        <v>-0.31</v>
      </c>
      <c r="X31" s="154">
        <v>-0.3</v>
      </c>
      <c r="Y31" s="154">
        <v>-0.28999999999999998</v>
      </c>
      <c r="AA31" s="146">
        <v>1200</v>
      </c>
      <c r="AB31" s="148">
        <v>-0.33</v>
      </c>
      <c r="AC31" s="148">
        <v>-0.28999999999999998</v>
      </c>
      <c r="AD31" s="148">
        <v>-0.25</v>
      </c>
      <c r="AE31" s="148">
        <v>-0.2</v>
      </c>
      <c r="AF31" s="148">
        <v>-0.16</v>
      </c>
      <c r="AG31" s="148">
        <v>-0.12</v>
      </c>
      <c r="AH31" s="148">
        <v>-7.0000000000000007E-2</v>
      </c>
      <c r="AI31" s="148">
        <v>-0.03</v>
      </c>
      <c r="AJ31" s="151">
        <v>0.01</v>
      </c>
      <c r="AK31" s="151">
        <v>0.06</v>
      </c>
      <c r="AL31" s="151">
        <v>0.1</v>
      </c>
    </row>
    <row r="32" spans="1:38" x14ac:dyDescent="0.25">
      <c r="A32" s="146">
        <v>1300</v>
      </c>
      <c r="B32" s="148">
        <v>-0.35</v>
      </c>
      <c r="C32" s="148">
        <v>-0.33</v>
      </c>
      <c r="D32" s="148">
        <v>-0.31</v>
      </c>
      <c r="E32" s="148">
        <v>-0.28000000000000003</v>
      </c>
      <c r="F32" s="148">
        <v>-0.26</v>
      </c>
      <c r="G32" s="148">
        <v>-0.23</v>
      </c>
      <c r="H32" s="148">
        <v>-0.21</v>
      </c>
      <c r="I32" s="148">
        <v>-0.19</v>
      </c>
      <c r="J32" s="148">
        <v>-0.16</v>
      </c>
      <c r="K32" s="148">
        <v>-0.14000000000000001</v>
      </c>
      <c r="L32" s="148">
        <v>-0.12</v>
      </c>
      <c r="N32" s="146">
        <v>1300</v>
      </c>
      <c r="O32" s="154">
        <v>-0.43</v>
      </c>
      <c r="P32" s="154">
        <v>-0.41</v>
      </c>
      <c r="Q32" s="154">
        <v>-0.4</v>
      </c>
      <c r="R32" s="154">
        <v>-0.38</v>
      </c>
      <c r="S32" s="154">
        <v>-0.37</v>
      </c>
      <c r="T32" s="154">
        <v>-0.36</v>
      </c>
      <c r="U32" s="154">
        <v>-0.34</v>
      </c>
      <c r="V32" s="154">
        <v>-0.33</v>
      </c>
      <c r="W32" s="154">
        <v>-0.31</v>
      </c>
      <c r="X32" s="154">
        <v>-0.3</v>
      </c>
      <c r="Y32" s="154">
        <v>-0.28000000000000003</v>
      </c>
      <c r="AA32" s="146">
        <v>1300</v>
      </c>
      <c r="AB32" s="148">
        <v>-0.33</v>
      </c>
      <c r="AC32" s="148">
        <v>-0.28000000000000003</v>
      </c>
      <c r="AD32" s="148">
        <v>-0.24</v>
      </c>
      <c r="AE32" s="148">
        <v>-0.19</v>
      </c>
      <c r="AF32" s="148">
        <v>-0.15</v>
      </c>
      <c r="AG32" s="148">
        <v>-0.11</v>
      </c>
      <c r="AH32" s="148">
        <v>-0.06</v>
      </c>
      <c r="AI32" s="148">
        <v>-0.02</v>
      </c>
      <c r="AJ32" s="151">
        <v>0.03</v>
      </c>
      <c r="AK32" s="151">
        <v>7.0000000000000007E-2</v>
      </c>
      <c r="AL32" s="151">
        <v>0.12</v>
      </c>
    </row>
    <row r="33" spans="1:38" x14ac:dyDescent="0.25">
      <c r="A33" s="146">
        <v>1400</v>
      </c>
      <c r="B33" s="148">
        <v>-0.36</v>
      </c>
      <c r="C33" s="148">
        <v>-0.34</v>
      </c>
      <c r="D33" s="148">
        <v>-0.31</v>
      </c>
      <c r="E33" s="148">
        <v>-0.28999999999999998</v>
      </c>
      <c r="F33" s="148">
        <v>-0.26</v>
      </c>
      <c r="G33" s="148">
        <v>-0.24</v>
      </c>
      <c r="H33" s="148">
        <v>-0.21</v>
      </c>
      <c r="I33" s="148">
        <v>-0.19</v>
      </c>
      <c r="J33" s="148">
        <v>-0.16</v>
      </c>
      <c r="K33" s="148">
        <v>-0.14000000000000001</v>
      </c>
      <c r="L33" s="148">
        <v>-0.11</v>
      </c>
      <c r="N33" s="146">
        <v>1400</v>
      </c>
      <c r="O33" s="154">
        <v>-0.43</v>
      </c>
      <c r="P33" s="154">
        <v>-0.41</v>
      </c>
      <c r="Q33" s="154">
        <v>-0.4</v>
      </c>
      <c r="R33" s="154">
        <v>-0.39</v>
      </c>
      <c r="S33" s="154">
        <v>-0.37</v>
      </c>
      <c r="T33" s="154">
        <v>-0.36</v>
      </c>
      <c r="U33" s="154">
        <v>-0.34</v>
      </c>
      <c r="V33" s="154">
        <v>-0.33</v>
      </c>
      <c r="W33" s="154">
        <v>-0.31</v>
      </c>
      <c r="X33" s="154">
        <v>-0.3</v>
      </c>
      <c r="Y33" s="154">
        <v>-0.28000000000000003</v>
      </c>
      <c r="AA33" s="146">
        <v>1400</v>
      </c>
      <c r="AB33" s="148">
        <v>-0.33</v>
      </c>
      <c r="AC33" s="148">
        <v>-0.28000000000000003</v>
      </c>
      <c r="AD33" s="148">
        <v>-0.24</v>
      </c>
      <c r="AE33" s="148">
        <v>-0.19</v>
      </c>
      <c r="AF33" s="148">
        <v>-0.14000000000000001</v>
      </c>
      <c r="AG33" s="148">
        <v>-0.09</v>
      </c>
      <c r="AH33" s="148">
        <v>-0.05</v>
      </c>
      <c r="AI33" s="148">
        <v>0</v>
      </c>
      <c r="AJ33" s="151">
        <v>0.05</v>
      </c>
      <c r="AK33" s="151">
        <v>0.09</v>
      </c>
      <c r="AL33" s="151">
        <v>0.14000000000000001</v>
      </c>
    </row>
    <row r="37" spans="1:38" x14ac:dyDescent="0.25">
      <c r="A37" s="57" t="s">
        <v>197</v>
      </c>
      <c r="L37" s="120"/>
    </row>
    <row r="38" spans="1:38" x14ac:dyDescent="0.25">
      <c r="A38" s="104" t="s">
        <v>180</v>
      </c>
      <c r="B38" s="54" t="s">
        <v>183</v>
      </c>
      <c r="C38" s="54" t="s">
        <v>182</v>
      </c>
      <c r="D38" s="54" t="s">
        <v>184</v>
      </c>
      <c r="E38" s="54" t="s">
        <v>185</v>
      </c>
      <c r="F38" s="54" t="s">
        <v>186</v>
      </c>
      <c r="G38" s="54" t="s">
        <v>187</v>
      </c>
      <c r="H38" s="54" t="s">
        <v>188</v>
      </c>
      <c r="I38" s="54" t="s">
        <v>189</v>
      </c>
      <c r="J38" s="54" t="s">
        <v>190</v>
      </c>
      <c r="K38" s="54" t="s">
        <v>191</v>
      </c>
      <c r="L38" s="54" t="s">
        <v>192</v>
      </c>
      <c r="M38" s="54" t="s">
        <v>193</v>
      </c>
      <c r="N38" s="54" t="s">
        <v>194</v>
      </c>
      <c r="O38" s="54" t="s">
        <v>195</v>
      </c>
      <c r="T38">
        <f>1.5/0.9</f>
        <v>1.6666666666666665</v>
      </c>
    </row>
    <row r="39" spans="1:38" x14ac:dyDescent="0.25">
      <c r="A39" s="104" t="s">
        <v>170</v>
      </c>
      <c r="B39" s="141">
        <f>5.93</f>
        <v>5.93</v>
      </c>
      <c r="C39" s="141">
        <v>3.18</v>
      </c>
      <c r="D39" s="141">
        <v>2.27</v>
      </c>
      <c r="E39" s="141">
        <v>1.81</v>
      </c>
      <c r="F39" s="141">
        <v>1.54</v>
      </c>
      <c r="G39" s="141">
        <v>1.35</v>
      </c>
      <c r="H39" s="141">
        <v>1.22</v>
      </c>
      <c r="I39" s="141">
        <v>1.32</v>
      </c>
      <c r="J39" s="141">
        <v>1.22</v>
      </c>
      <c r="K39" s="141">
        <v>1.1399999999999999</v>
      </c>
      <c r="L39" s="141">
        <v>1.08</v>
      </c>
      <c r="M39" s="141">
        <v>1.03</v>
      </c>
      <c r="N39" s="141">
        <v>0.98</v>
      </c>
      <c r="O39" s="141">
        <v>0.94</v>
      </c>
      <c r="T39">
        <f>T38*0.3</f>
        <v>0.49999999999999994</v>
      </c>
    </row>
    <row r="40" spans="1:38" x14ac:dyDescent="0.25">
      <c r="A40" s="104" t="s">
        <v>171</v>
      </c>
      <c r="B40" s="141">
        <v>5.85</v>
      </c>
      <c r="C40" s="141">
        <v>3.1</v>
      </c>
      <c r="D40" s="141">
        <v>2.19</v>
      </c>
      <c r="E40" s="141">
        <v>1.73</v>
      </c>
      <c r="F40" s="141">
        <v>1.45</v>
      </c>
      <c r="G40" s="141">
        <v>1.27</v>
      </c>
      <c r="H40" s="141">
        <v>1.1399999999999999</v>
      </c>
      <c r="I40" s="141">
        <v>1.24</v>
      </c>
      <c r="J40" s="141">
        <v>1.1399999999999999</v>
      </c>
      <c r="K40" s="141">
        <v>1.06</v>
      </c>
      <c r="L40" s="141">
        <v>1</v>
      </c>
      <c r="M40" s="141">
        <v>0.94</v>
      </c>
      <c r="N40" s="141">
        <v>0.9</v>
      </c>
      <c r="O40" s="141">
        <v>0.86</v>
      </c>
    </row>
    <row r="41" spans="1:38" x14ac:dyDescent="0.25">
      <c r="A41" s="104" t="s">
        <v>172</v>
      </c>
      <c r="B41" s="141">
        <v>5.76</v>
      </c>
      <c r="C41" s="141">
        <v>3.02</v>
      </c>
      <c r="D41" s="141">
        <v>2.1</v>
      </c>
      <c r="E41" s="141">
        <v>1.64</v>
      </c>
      <c r="F41" s="141">
        <v>1.37</v>
      </c>
      <c r="G41" s="141">
        <v>1.19</v>
      </c>
      <c r="H41" s="141">
        <v>1.06</v>
      </c>
      <c r="I41" s="141">
        <v>1.1599999999999999</v>
      </c>
      <c r="J41" s="141">
        <v>1.06</v>
      </c>
      <c r="K41" s="141">
        <v>0.98</v>
      </c>
      <c r="L41" s="141">
        <v>0.91</v>
      </c>
      <c r="M41" s="141">
        <v>0.86</v>
      </c>
      <c r="N41" s="141">
        <v>0.81</v>
      </c>
      <c r="O41" s="141">
        <v>0.78</v>
      </c>
    </row>
    <row r="42" spans="1:38" x14ac:dyDescent="0.25">
      <c r="A42" s="104" t="s">
        <v>173</v>
      </c>
      <c r="B42" s="141">
        <v>5.68</v>
      </c>
      <c r="C42" s="141">
        <v>2.93</v>
      </c>
      <c r="D42" s="141">
        <v>2.02</v>
      </c>
      <c r="E42" s="141">
        <v>1.56</v>
      </c>
      <c r="F42" s="141">
        <v>1.29</v>
      </c>
      <c r="G42" s="141">
        <v>1.1000000000000001</v>
      </c>
      <c r="H42" s="141">
        <v>0.97</v>
      </c>
      <c r="I42" s="141">
        <v>1.07</v>
      </c>
      <c r="J42" s="141">
        <v>0.97</v>
      </c>
      <c r="K42" s="141">
        <v>0.9</v>
      </c>
      <c r="L42" s="141">
        <v>0.83</v>
      </c>
      <c r="M42" s="141">
        <v>0.78</v>
      </c>
      <c r="N42" s="141">
        <v>0.73</v>
      </c>
      <c r="O42" s="141">
        <v>0.69</v>
      </c>
    </row>
    <row r="43" spans="1:38" x14ac:dyDescent="0.25">
      <c r="A43" s="104" t="s">
        <v>174</v>
      </c>
      <c r="B43" s="141">
        <v>5.6</v>
      </c>
      <c r="C43" s="141">
        <v>2.85</v>
      </c>
      <c r="D43" s="141">
        <v>1.94</v>
      </c>
      <c r="E43" s="141">
        <v>1.48</v>
      </c>
      <c r="F43" s="141">
        <v>1.2</v>
      </c>
      <c r="G43" s="141">
        <v>1.02</v>
      </c>
      <c r="H43" s="141">
        <v>0.89</v>
      </c>
      <c r="I43" s="141">
        <v>0.99</v>
      </c>
      <c r="J43" s="141">
        <v>0.89</v>
      </c>
      <c r="K43" s="141">
        <v>0.81</v>
      </c>
      <c r="L43" s="141">
        <v>0.75</v>
      </c>
      <c r="M43" s="141">
        <v>0.69</v>
      </c>
      <c r="N43" s="141">
        <v>0.65</v>
      </c>
      <c r="O43" s="141">
        <v>0.61</v>
      </c>
      <c r="Q43">
        <f>50/1000</f>
        <v>0.05</v>
      </c>
    </row>
    <row r="44" spans="1:38" x14ac:dyDescent="0.25">
      <c r="A44" s="104" t="s">
        <v>175</v>
      </c>
      <c r="B44" s="141">
        <v>3.12</v>
      </c>
      <c r="C44" s="141">
        <v>1.7</v>
      </c>
      <c r="D44" s="141">
        <v>1.23</v>
      </c>
      <c r="E44" s="141">
        <v>0.99</v>
      </c>
      <c r="F44" s="141">
        <v>0.85</v>
      </c>
      <c r="G44" s="141">
        <v>0.76</v>
      </c>
      <c r="H44" s="141">
        <v>0.69</v>
      </c>
      <c r="I44" s="141">
        <v>0.82</v>
      </c>
      <c r="J44" s="141">
        <v>0.76</v>
      </c>
      <c r="K44" s="141">
        <v>0.71</v>
      </c>
      <c r="L44" s="141">
        <v>0.67</v>
      </c>
      <c r="M44" s="141">
        <v>0.64</v>
      </c>
      <c r="N44" s="141">
        <v>0.61</v>
      </c>
      <c r="O44" s="141">
        <v>0.59</v>
      </c>
      <c r="Q44">
        <f>1000/0.77</f>
        <v>1298.7012987012986</v>
      </c>
    </row>
    <row r="45" spans="1:38" x14ac:dyDescent="0.25">
      <c r="A45" s="104" t="s">
        <v>177</v>
      </c>
      <c r="B45" s="141">
        <v>3.67</v>
      </c>
      <c r="C45" s="141">
        <v>1.93</v>
      </c>
      <c r="D45" s="141">
        <v>1.35</v>
      </c>
      <c r="E45" s="141">
        <v>1.06</v>
      </c>
      <c r="F45" s="141">
        <v>0.88</v>
      </c>
      <c r="G45" s="141">
        <v>0.77</v>
      </c>
      <c r="H45" s="141">
        <v>0.68</v>
      </c>
      <c r="I45" s="141">
        <v>0.82</v>
      </c>
      <c r="J45" s="141">
        <v>0.75</v>
      </c>
      <c r="K45" s="141">
        <v>0.69</v>
      </c>
      <c r="L45" s="141">
        <v>0.65</v>
      </c>
      <c r="M45" s="141">
        <v>0.61</v>
      </c>
      <c r="N45" s="141">
        <v>0.57999999999999996</v>
      </c>
      <c r="O45" s="141">
        <v>0.55000000000000004</v>
      </c>
      <c r="Q45">
        <f>50/Q44</f>
        <v>3.8500000000000006E-2</v>
      </c>
    </row>
    <row r="46" spans="1:38" x14ac:dyDescent="0.25">
      <c r="A46" s="104" t="s">
        <v>176</v>
      </c>
      <c r="B46" s="141">
        <v>3.79</v>
      </c>
      <c r="C46" s="141">
        <v>2.0499999999999998</v>
      </c>
      <c r="D46" s="141">
        <v>1.47</v>
      </c>
      <c r="E46" s="141">
        <v>1.18</v>
      </c>
      <c r="F46" s="141">
        <v>1.01</v>
      </c>
      <c r="G46" s="141">
        <v>0.89</v>
      </c>
      <c r="H46" s="141">
        <v>0.81</v>
      </c>
      <c r="I46" s="141">
        <v>0.94</v>
      </c>
      <c r="J46" s="141">
        <v>0.87</v>
      </c>
      <c r="K46" s="141">
        <v>0.82</v>
      </c>
      <c r="L46" s="141">
        <v>0.77</v>
      </c>
      <c r="M46" s="141">
        <v>0.73</v>
      </c>
      <c r="N46" s="141">
        <v>0.7</v>
      </c>
      <c r="O46" s="141">
        <v>0.67</v>
      </c>
      <c r="Q46" s="52">
        <f>Q45/0.9</f>
        <v>4.2777777777777783E-2</v>
      </c>
    </row>
    <row r="47" spans="1:38" x14ac:dyDescent="0.25">
      <c r="A47" s="104" t="s">
        <v>178</v>
      </c>
      <c r="B47" s="141">
        <v>5.18</v>
      </c>
      <c r="C47" s="141">
        <v>2.73</v>
      </c>
      <c r="D47" s="141">
        <v>1.91</v>
      </c>
      <c r="E47" s="141">
        <v>1.5</v>
      </c>
      <c r="F47" s="141">
        <v>1.26</v>
      </c>
      <c r="G47" s="141">
        <v>1.1000000000000001</v>
      </c>
      <c r="H47" s="141">
        <v>0.98</v>
      </c>
      <c r="I47" s="141">
        <v>1.0900000000000001</v>
      </c>
      <c r="J47" s="141">
        <v>1</v>
      </c>
      <c r="K47" s="141">
        <v>0.93</v>
      </c>
      <c r="L47" s="141">
        <v>0.87</v>
      </c>
      <c r="M47" s="141">
        <v>0.82</v>
      </c>
      <c r="N47" s="141">
        <v>0.78</v>
      </c>
      <c r="O47" s="141">
        <v>0.74</v>
      </c>
    </row>
    <row r="48" spans="1:38" x14ac:dyDescent="0.25">
      <c r="A48" s="104" t="s">
        <v>198</v>
      </c>
      <c r="B48" s="141">
        <v>3.51</v>
      </c>
      <c r="C48" s="141">
        <v>2.09</v>
      </c>
      <c r="D48" s="141">
        <v>1.62</v>
      </c>
      <c r="E48" s="141">
        <v>1.39</v>
      </c>
      <c r="F48" s="141">
        <v>1.24</v>
      </c>
      <c r="G48" s="141">
        <v>1.1499999999999999</v>
      </c>
      <c r="H48" s="141">
        <v>1.08</v>
      </c>
      <c r="I48" s="141">
        <v>1.21</v>
      </c>
      <c r="J48" s="141">
        <v>1.1499999999999999</v>
      </c>
      <c r="K48" s="141">
        <v>1.1000000000000001</v>
      </c>
      <c r="L48" s="141">
        <v>1.07</v>
      </c>
      <c r="M48" s="141">
        <v>1.03</v>
      </c>
      <c r="N48" s="141">
        <v>1.01</v>
      </c>
      <c r="O48" s="141">
        <v>0.98</v>
      </c>
      <c r="Q48">
        <f>0.08*3.5</f>
        <v>0.28000000000000003</v>
      </c>
      <c r="R48" s="156"/>
      <c r="S48" s="158">
        <v>3.5</v>
      </c>
      <c r="T48" s="158"/>
      <c r="U48" s="158"/>
    </row>
    <row r="49" spans="1:21" x14ac:dyDescent="0.25">
      <c r="Q49">
        <f>0.95*0.3</f>
        <v>0.28499999999999998</v>
      </c>
      <c r="R49" s="157"/>
      <c r="S49" s="134"/>
      <c r="T49" s="158"/>
      <c r="U49" s="158"/>
    </row>
    <row r="50" spans="1:21" x14ac:dyDescent="0.25">
      <c r="A50" s="104" t="s">
        <v>179</v>
      </c>
      <c r="B50" s="54" t="s">
        <v>183</v>
      </c>
      <c r="C50" s="54" t="s">
        <v>182</v>
      </c>
      <c r="D50" s="54" t="s">
        <v>184</v>
      </c>
      <c r="E50" s="54" t="s">
        <v>185</v>
      </c>
      <c r="F50" s="54" t="s">
        <v>186</v>
      </c>
      <c r="G50" s="54" t="s">
        <v>187</v>
      </c>
      <c r="H50" s="54" t="s">
        <v>188</v>
      </c>
      <c r="I50" s="54" t="s">
        <v>189</v>
      </c>
      <c r="J50" s="54" t="s">
        <v>190</v>
      </c>
      <c r="K50" s="54" t="s">
        <v>191</v>
      </c>
      <c r="L50" s="54" t="s">
        <v>192</v>
      </c>
      <c r="M50" s="54" t="s">
        <v>193</v>
      </c>
      <c r="N50" s="54" t="s">
        <v>194</v>
      </c>
      <c r="O50" s="54" t="s">
        <v>195</v>
      </c>
      <c r="S50" s="158"/>
      <c r="T50" s="158"/>
      <c r="U50" s="158"/>
    </row>
    <row r="51" spans="1:21" x14ac:dyDescent="0.25">
      <c r="A51" s="104" t="s">
        <v>170</v>
      </c>
      <c r="B51" s="134">
        <f t="shared" ref="B51:O51" si="0">B39/B$44-1</f>
        <v>0.90064102564102555</v>
      </c>
      <c r="C51" s="134">
        <f t="shared" si="0"/>
        <v>0.87058823529411788</v>
      </c>
      <c r="D51" s="134">
        <f t="shared" si="0"/>
        <v>0.84552845528455278</v>
      </c>
      <c r="E51" s="134">
        <f t="shared" si="0"/>
        <v>0.82828282828282829</v>
      </c>
      <c r="F51" s="134">
        <f t="shared" si="0"/>
        <v>0.81176470588235294</v>
      </c>
      <c r="G51" s="134">
        <f t="shared" si="0"/>
        <v>0.77631578947368429</v>
      </c>
      <c r="H51" s="134">
        <f t="shared" si="0"/>
        <v>0.76811594202898559</v>
      </c>
      <c r="I51" s="134">
        <f t="shared" si="0"/>
        <v>0.60975609756097571</v>
      </c>
      <c r="J51" s="134">
        <f t="shared" si="0"/>
        <v>0.60526315789473673</v>
      </c>
      <c r="K51" s="134">
        <f t="shared" si="0"/>
        <v>0.60563380281690127</v>
      </c>
      <c r="L51" s="134">
        <f t="shared" si="0"/>
        <v>0.61194029850746268</v>
      </c>
      <c r="M51" s="134">
        <f t="shared" si="0"/>
        <v>0.609375</v>
      </c>
      <c r="N51" s="134">
        <f t="shared" si="0"/>
        <v>0.60655737704918034</v>
      </c>
      <c r="O51" s="134">
        <f t="shared" si="0"/>
        <v>0.59322033898305082</v>
      </c>
    </row>
    <row r="52" spans="1:21" x14ac:dyDescent="0.25">
      <c r="A52" s="104" t="s">
        <v>171</v>
      </c>
      <c r="B52" s="134">
        <f t="shared" ref="B52:O52" si="1">B40/B$44-1</f>
        <v>0.87499999999999978</v>
      </c>
      <c r="C52" s="134">
        <f t="shared" si="1"/>
        <v>0.82352941176470607</v>
      </c>
      <c r="D52" s="134">
        <f t="shared" si="1"/>
        <v>0.78048780487804881</v>
      </c>
      <c r="E52" s="134">
        <f t="shared" si="1"/>
        <v>0.7474747474747474</v>
      </c>
      <c r="F52" s="134">
        <f t="shared" si="1"/>
        <v>0.70588235294117641</v>
      </c>
      <c r="G52" s="134">
        <f t="shared" si="1"/>
        <v>0.67105263157894735</v>
      </c>
      <c r="H52" s="134">
        <f t="shared" si="1"/>
        <v>0.65217391304347827</v>
      </c>
      <c r="I52" s="134">
        <f t="shared" si="1"/>
        <v>0.51219512195121952</v>
      </c>
      <c r="J52" s="134">
        <f t="shared" si="1"/>
        <v>0.49999999999999978</v>
      </c>
      <c r="K52" s="134">
        <f t="shared" si="1"/>
        <v>0.49295774647887347</v>
      </c>
      <c r="L52" s="134">
        <f t="shared" si="1"/>
        <v>0.49253731343283569</v>
      </c>
      <c r="M52" s="134">
        <f t="shared" si="1"/>
        <v>0.46874999999999978</v>
      </c>
      <c r="N52" s="134">
        <f t="shared" si="1"/>
        <v>0.47540983606557385</v>
      </c>
      <c r="O52" s="134">
        <f t="shared" si="1"/>
        <v>0.45762711864406791</v>
      </c>
    </row>
    <row r="53" spans="1:21" x14ac:dyDescent="0.25">
      <c r="A53" s="104" t="s">
        <v>172</v>
      </c>
      <c r="B53" s="134">
        <f t="shared" ref="B53:O53" si="2">B41/B$44-1</f>
        <v>0.84615384615384603</v>
      </c>
      <c r="C53" s="134">
        <f t="shared" si="2"/>
        <v>0.77647058823529425</v>
      </c>
      <c r="D53" s="134">
        <f t="shared" si="2"/>
        <v>0.70731707317073189</v>
      </c>
      <c r="E53" s="134">
        <f t="shared" si="2"/>
        <v>0.65656565656565657</v>
      </c>
      <c r="F53" s="134">
        <f t="shared" si="2"/>
        <v>0.61176470588235321</v>
      </c>
      <c r="G53" s="134">
        <f t="shared" si="2"/>
        <v>0.5657894736842104</v>
      </c>
      <c r="H53" s="134">
        <f t="shared" si="2"/>
        <v>0.53623188405797118</v>
      </c>
      <c r="I53" s="134">
        <f t="shared" si="2"/>
        <v>0.41463414634146334</v>
      </c>
      <c r="J53" s="134">
        <f t="shared" si="2"/>
        <v>0.39473684210526327</v>
      </c>
      <c r="K53" s="134">
        <f t="shared" si="2"/>
        <v>0.38028169014084501</v>
      </c>
      <c r="L53" s="134">
        <f t="shared" si="2"/>
        <v>0.35820895522388052</v>
      </c>
      <c r="M53" s="134">
        <f t="shared" si="2"/>
        <v>0.34375</v>
      </c>
      <c r="N53" s="134">
        <f t="shared" si="2"/>
        <v>0.32786885245901654</v>
      </c>
      <c r="O53" s="134">
        <f t="shared" si="2"/>
        <v>0.32203389830508478</v>
      </c>
    </row>
    <row r="54" spans="1:21" x14ac:dyDescent="0.25">
      <c r="A54" s="104" t="s">
        <v>173</v>
      </c>
      <c r="B54" s="134">
        <f t="shared" ref="B54:O54" si="3">B42/B$44-1</f>
        <v>0.82051282051282026</v>
      </c>
      <c r="C54" s="134">
        <f t="shared" si="3"/>
        <v>0.72352941176470598</v>
      </c>
      <c r="D54" s="134">
        <f t="shared" si="3"/>
        <v>0.64227642276422769</v>
      </c>
      <c r="E54" s="134">
        <f t="shared" si="3"/>
        <v>0.57575757575757591</v>
      </c>
      <c r="F54" s="134">
        <f t="shared" si="3"/>
        <v>0.51764705882352957</v>
      </c>
      <c r="G54" s="134">
        <f t="shared" si="3"/>
        <v>0.44736842105263164</v>
      </c>
      <c r="H54" s="134">
        <f t="shared" si="3"/>
        <v>0.40579710144927539</v>
      </c>
      <c r="I54" s="134">
        <f t="shared" si="3"/>
        <v>0.30487804878048785</v>
      </c>
      <c r="J54" s="134">
        <f t="shared" si="3"/>
        <v>0.27631578947368407</v>
      </c>
      <c r="K54" s="134">
        <f t="shared" si="3"/>
        <v>0.26760563380281699</v>
      </c>
      <c r="L54" s="134">
        <f t="shared" si="3"/>
        <v>0.23880597014925353</v>
      </c>
      <c r="M54" s="134">
        <f t="shared" si="3"/>
        <v>0.21875</v>
      </c>
      <c r="N54" s="134">
        <f t="shared" si="3"/>
        <v>0.19672131147540983</v>
      </c>
      <c r="O54" s="134">
        <f t="shared" si="3"/>
        <v>0.16949152542372881</v>
      </c>
    </row>
    <row r="55" spans="1:21" x14ac:dyDescent="0.25">
      <c r="A55" s="104" t="s">
        <v>174</v>
      </c>
      <c r="B55" s="134">
        <f t="shared" ref="B55:O55" si="4">B43/B$44-1</f>
        <v>0.79487179487179471</v>
      </c>
      <c r="C55" s="134">
        <f t="shared" si="4"/>
        <v>0.67647058823529416</v>
      </c>
      <c r="D55" s="134">
        <f t="shared" si="4"/>
        <v>0.5772357723577235</v>
      </c>
      <c r="E55" s="134">
        <f t="shared" si="4"/>
        <v>0.49494949494949503</v>
      </c>
      <c r="F55" s="134">
        <f t="shared" si="4"/>
        <v>0.41176470588235303</v>
      </c>
      <c r="G55" s="134">
        <f t="shared" si="4"/>
        <v>0.34210526315789469</v>
      </c>
      <c r="H55" s="134">
        <f t="shared" si="4"/>
        <v>0.28985507246376829</v>
      </c>
      <c r="I55" s="134">
        <f t="shared" si="4"/>
        <v>0.20731707317073167</v>
      </c>
      <c r="J55" s="134">
        <f t="shared" si="4"/>
        <v>0.17105263157894735</v>
      </c>
      <c r="K55" s="134">
        <f t="shared" si="4"/>
        <v>0.14084507042253525</v>
      </c>
      <c r="L55" s="134">
        <f t="shared" si="4"/>
        <v>0.11940298507462677</v>
      </c>
      <c r="M55" s="134">
        <f t="shared" si="4"/>
        <v>7.8125E-2</v>
      </c>
      <c r="N55" s="134">
        <f t="shared" si="4"/>
        <v>6.5573770491803351E-2</v>
      </c>
      <c r="O55" s="134">
        <f t="shared" si="4"/>
        <v>3.3898305084745894E-2</v>
      </c>
    </row>
    <row r="56" spans="1:21" x14ac:dyDescent="0.25">
      <c r="A56" s="104" t="s">
        <v>175</v>
      </c>
      <c r="B56" s="134">
        <f t="shared" ref="B56:O56" si="5">B44/B$44-1</f>
        <v>0</v>
      </c>
      <c r="C56" s="134">
        <f t="shared" si="5"/>
        <v>0</v>
      </c>
      <c r="D56" s="134">
        <f t="shared" si="5"/>
        <v>0</v>
      </c>
      <c r="E56" s="134">
        <f t="shared" si="5"/>
        <v>0</v>
      </c>
      <c r="F56" s="134">
        <f t="shared" si="5"/>
        <v>0</v>
      </c>
      <c r="G56" s="134">
        <f t="shared" si="5"/>
        <v>0</v>
      </c>
      <c r="H56" s="134">
        <f t="shared" si="5"/>
        <v>0</v>
      </c>
      <c r="I56" s="134">
        <f t="shared" si="5"/>
        <v>0</v>
      </c>
      <c r="J56" s="134">
        <f t="shared" si="5"/>
        <v>0</v>
      </c>
      <c r="K56" s="134">
        <f t="shared" si="5"/>
        <v>0</v>
      </c>
      <c r="L56" s="134">
        <f t="shared" si="5"/>
        <v>0</v>
      </c>
      <c r="M56" s="134">
        <f t="shared" si="5"/>
        <v>0</v>
      </c>
      <c r="N56" s="134">
        <f t="shared" si="5"/>
        <v>0</v>
      </c>
      <c r="O56" s="134">
        <f t="shared" si="5"/>
        <v>0</v>
      </c>
    </row>
    <row r="57" spans="1:21" x14ac:dyDescent="0.25">
      <c r="A57" s="104" t="s">
        <v>177</v>
      </c>
      <c r="B57" s="134">
        <f t="shared" ref="B57:O57" si="6">B45/B$44-1</f>
        <v>0.17628205128205132</v>
      </c>
      <c r="C57" s="134">
        <f t="shared" si="6"/>
        <v>0.13529411764705879</v>
      </c>
      <c r="D57" s="134">
        <f t="shared" si="6"/>
        <v>9.7560975609756184E-2</v>
      </c>
      <c r="E57" s="134">
        <f t="shared" si="6"/>
        <v>7.0707070707070718E-2</v>
      </c>
      <c r="F57" s="134">
        <f t="shared" si="6"/>
        <v>3.529411764705892E-2</v>
      </c>
      <c r="G57" s="134">
        <f t="shared" si="6"/>
        <v>1.3157894736842035E-2</v>
      </c>
      <c r="H57" s="134">
        <f t="shared" si="6"/>
        <v>-1.4492753623188248E-2</v>
      </c>
      <c r="I57" s="134">
        <f t="shared" si="6"/>
        <v>0</v>
      </c>
      <c r="J57" s="134">
        <f t="shared" si="6"/>
        <v>-1.3157894736842146E-2</v>
      </c>
      <c r="K57" s="134">
        <f t="shared" si="6"/>
        <v>-2.8169014084507116E-2</v>
      </c>
      <c r="L57" s="134">
        <f t="shared" si="6"/>
        <v>-2.9850746268656692E-2</v>
      </c>
      <c r="M57" s="134">
        <f t="shared" si="6"/>
        <v>-4.6875E-2</v>
      </c>
      <c r="N57" s="134">
        <f t="shared" si="6"/>
        <v>-4.9180327868852514E-2</v>
      </c>
      <c r="O57" s="134">
        <f t="shared" si="6"/>
        <v>-6.7796610169491456E-2</v>
      </c>
    </row>
    <row r="58" spans="1:21" x14ac:dyDescent="0.25">
      <c r="A58" s="104" t="s">
        <v>176</v>
      </c>
      <c r="B58" s="134">
        <f t="shared" ref="B58:O58" si="7">B46/B$44-1</f>
        <v>0.21474358974358965</v>
      </c>
      <c r="C58" s="134">
        <f t="shared" si="7"/>
        <v>0.20588235294117641</v>
      </c>
      <c r="D58" s="134">
        <f t="shared" si="7"/>
        <v>0.19512195121951215</v>
      </c>
      <c r="E58" s="134">
        <f t="shared" si="7"/>
        <v>0.19191919191919182</v>
      </c>
      <c r="F58" s="134">
        <f t="shared" si="7"/>
        <v>0.18823529411764706</v>
      </c>
      <c r="G58" s="134">
        <f t="shared" si="7"/>
        <v>0.17105263157894735</v>
      </c>
      <c r="H58" s="134">
        <f t="shared" si="7"/>
        <v>0.17391304347826098</v>
      </c>
      <c r="I58" s="134">
        <f t="shared" si="7"/>
        <v>0.14634146341463405</v>
      </c>
      <c r="J58" s="134">
        <f t="shared" si="7"/>
        <v>0.14473684210526305</v>
      </c>
      <c r="K58" s="134">
        <f t="shared" si="7"/>
        <v>0.15492957746478875</v>
      </c>
      <c r="L58" s="134">
        <f t="shared" si="7"/>
        <v>0.14925373134328357</v>
      </c>
      <c r="M58" s="134">
        <f t="shared" si="7"/>
        <v>0.140625</v>
      </c>
      <c r="N58" s="134">
        <f t="shared" si="7"/>
        <v>0.14754098360655732</v>
      </c>
      <c r="O58" s="134">
        <f t="shared" si="7"/>
        <v>0.13559322033898313</v>
      </c>
    </row>
    <row r="59" spans="1:21" x14ac:dyDescent="0.25">
      <c r="A59" s="104" t="s">
        <v>178</v>
      </c>
      <c r="B59" s="134">
        <f t="shared" ref="B59:O59" si="8">B47/B$44-1</f>
        <v>0.66025641025641013</v>
      </c>
      <c r="C59" s="134">
        <f t="shared" si="8"/>
        <v>0.60588235294117654</v>
      </c>
      <c r="D59" s="134">
        <f t="shared" si="8"/>
        <v>0.55284552845528445</v>
      </c>
      <c r="E59" s="134">
        <f t="shared" si="8"/>
        <v>0.51515151515151514</v>
      </c>
      <c r="F59" s="134">
        <f t="shared" si="8"/>
        <v>0.48235294117647065</v>
      </c>
      <c r="G59" s="134">
        <f t="shared" si="8"/>
        <v>0.44736842105263164</v>
      </c>
      <c r="H59" s="134">
        <f t="shared" si="8"/>
        <v>0.42028985507246386</v>
      </c>
      <c r="I59" s="134">
        <f t="shared" si="8"/>
        <v>0.3292682926829269</v>
      </c>
      <c r="J59" s="134">
        <f t="shared" si="8"/>
        <v>0.31578947368421062</v>
      </c>
      <c r="K59" s="134">
        <f t="shared" si="8"/>
        <v>0.3098591549295775</v>
      </c>
      <c r="L59" s="134">
        <f t="shared" si="8"/>
        <v>0.29850746268656714</v>
      </c>
      <c r="M59" s="134">
        <f t="shared" si="8"/>
        <v>0.28125</v>
      </c>
      <c r="N59" s="134">
        <f t="shared" si="8"/>
        <v>0.27868852459016402</v>
      </c>
      <c r="O59" s="134">
        <f t="shared" si="8"/>
        <v>0.25423728813559321</v>
      </c>
    </row>
    <row r="60" spans="1:21" x14ac:dyDescent="0.25">
      <c r="A60" s="104" t="s">
        <v>198</v>
      </c>
      <c r="B60" s="134">
        <f t="shared" ref="B60:O60" si="9">B48/B$44-1</f>
        <v>0.125</v>
      </c>
      <c r="C60" s="134">
        <f t="shared" si="9"/>
        <v>0.2294117647058822</v>
      </c>
      <c r="D60" s="134">
        <f t="shared" si="9"/>
        <v>0.31707317073170738</v>
      </c>
      <c r="E60" s="134">
        <f t="shared" si="9"/>
        <v>0.40404040404040398</v>
      </c>
      <c r="F60" s="134">
        <f t="shared" si="9"/>
        <v>0.45882352941176463</v>
      </c>
      <c r="G60" s="134">
        <f t="shared" si="9"/>
        <v>0.51315789473684204</v>
      </c>
      <c r="H60" s="134">
        <f t="shared" si="9"/>
        <v>0.56521739130434812</v>
      </c>
      <c r="I60" s="134">
        <f t="shared" si="9"/>
        <v>0.47560975609756095</v>
      </c>
      <c r="J60" s="134">
        <f t="shared" si="9"/>
        <v>0.51315789473684204</v>
      </c>
      <c r="K60" s="134">
        <f t="shared" si="9"/>
        <v>0.54929577464788748</v>
      </c>
      <c r="L60" s="134">
        <f t="shared" si="9"/>
        <v>0.59701492537313428</v>
      </c>
      <c r="M60" s="134">
        <f t="shared" si="9"/>
        <v>0.609375</v>
      </c>
      <c r="N60" s="134">
        <f t="shared" si="9"/>
        <v>0.65573770491803285</v>
      </c>
      <c r="O60" s="134">
        <f t="shared" si="9"/>
        <v>0.66101694915254239</v>
      </c>
    </row>
    <row r="62" spans="1:21" x14ac:dyDescent="0.25">
      <c r="A62" s="104" t="s">
        <v>181</v>
      </c>
      <c r="B62" s="54" t="s">
        <v>183</v>
      </c>
      <c r="C62" s="54" t="s">
        <v>182</v>
      </c>
      <c r="D62" s="54" t="s">
        <v>184</v>
      </c>
      <c r="E62" s="54" t="s">
        <v>185</v>
      </c>
      <c r="F62" s="54" t="s">
        <v>186</v>
      </c>
      <c r="G62" s="54" t="s">
        <v>187</v>
      </c>
      <c r="H62" s="54" t="s">
        <v>188</v>
      </c>
      <c r="I62" s="54" t="s">
        <v>189</v>
      </c>
      <c r="J62" s="54" t="s">
        <v>190</v>
      </c>
      <c r="K62" s="54" t="s">
        <v>191</v>
      </c>
      <c r="L62" s="54" t="s">
        <v>192</v>
      </c>
      <c r="M62" s="54" t="s">
        <v>193</v>
      </c>
      <c r="N62" s="54" t="s">
        <v>194</v>
      </c>
      <c r="O62" s="54" t="s">
        <v>195</v>
      </c>
    </row>
    <row r="63" spans="1:21" x14ac:dyDescent="0.25">
      <c r="A63" s="104" t="s">
        <v>177</v>
      </c>
      <c r="B63" s="133">
        <v>3.53</v>
      </c>
      <c r="C63" s="133">
        <v>1.86</v>
      </c>
      <c r="D63" s="133">
        <v>1.3</v>
      </c>
      <c r="E63" s="133">
        <v>1.02</v>
      </c>
      <c r="F63" s="133">
        <v>0.85</v>
      </c>
      <c r="G63" s="133">
        <v>0.74</v>
      </c>
      <c r="H63" s="133">
        <v>0.66</v>
      </c>
      <c r="I63" s="133">
        <v>0.8</v>
      </c>
      <c r="J63" s="133">
        <v>0.73</v>
      </c>
      <c r="K63" s="133">
        <v>0.68</v>
      </c>
      <c r="L63" s="133">
        <v>0.63</v>
      </c>
      <c r="M63" s="133">
        <v>0.6</v>
      </c>
      <c r="N63" s="133">
        <v>0.56000000000000005</v>
      </c>
      <c r="O63" s="133">
        <f>0.54</f>
        <v>0.54</v>
      </c>
    </row>
    <row r="64" spans="1:21" x14ac:dyDescent="0.25">
      <c r="A64" s="104" t="s">
        <v>176</v>
      </c>
      <c r="B64" s="133">
        <v>3.65</v>
      </c>
      <c r="C64" s="133">
        <v>1.98</v>
      </c>
      <c r="D64" s="133">
        <v>1.42</v>
      </c>
      <c r="E64" s="133">
        <v>1.1399999999999999</v>
      </c>
      <c r="F64" s="133">
        <v>0.98</v>
      </c>
      <c r="G64" s="133">
        <v>0.87</v>
      </c>
      <c r="H64" s="133">
        <v>0.79</v>
      </c>
      <c r="I64" s="133">
        <v>0.93</v>
      </c>
      <c r="J64" s="133">
        <v>0.86</v>
      </c>
      <c r="K64" s="133">
        <v>0.8</v>
      </c>
      <c r="L64" s="133">
        <v>0.76</v>
      </c>
      <c r="M64" s="133">
        <v>0.72</v>
      </c>
      <c r="N64" s="133">
        <v>0.69</v>
      </c>
      <c r="O64" s="133">
        <v>0.66</v>
      </c>
    </row>
    <row r="66" spans="1:15" x14ac:dyDescent="0.25">
      <c r="A66" s="104" t="s">
        <v>181</v>
      </c>
      <c r="B66" s="54" t="s">
        <v>183</v>
      </c>
      <c r="C66" s="54" t="s">
        <v>182</v>
      </c>
      <c r="D66" s="54" t="s">
        <v>184</v>
      </c>
      <c r="E66" s="54" t="s">
        <v>185</v>
      </c>
      <c r="F66" s="54" t="s">
        <v>186</v>
      </c>
      <c r="G66" s="54" t="s">
        <v>187</v>
      </c>
      <c r="H66" s="54" t="s">
        <v>188</v>
      </c>
      <c r="I66" s="54" t="s">
        <v>189</v>
      </c>
      <c r="J66" s="54" t="s">
        <v>190</v>
      </c>
      <c r="K66" s="54" t="s">
        <v>191</v>
      </c>
      <c r="L66" s="54" t="s">
        <v>192</v>
      </c>
      <c r="M66" s="54" t="s">
        <v>193</v>
      </c>
      <c r="N66" s="54" t="s">
        <v>194</v>
      </c>
      <c r="O66" s="54" t="s">
        <v>195</v>
      </c>
    </row>
    <row r="67" spans="1:15" x14ac:dyDescent="0.25">
      <c r="A67" s="104" t="s">
        <v>177</v>
      </c>
      <c r="B67" s="134">
        <f t="shared" ref="B67:O67" si="10">B63/B$44-1</f>
        <v>0.13141025641025639</v>
      </c>
      <c r="C67" s="134">
        <f t="shared" si="10"/>
        <v>9.4117647058823639E-2</v>
      </c>
      <c r="D67" s="134">
        <f t="shared" si="10"/>
        <v>5.6910569105691033E-2</v>
      </c>
      <c r="E67" s="134">
        <f t="shared" si="10"/>
        <v>3.0303030303030276E-2</v>
      </c>
      <c r="F67" s="134">
        <f t="shared" si="10"/>
        <v>0</v>
      </c>
      <c r="G67" s="134">
        <f t="shared" si="10"/>
        <v>-2.6315789473684181E-2</v>
      </c>
      <c r="H67" s="134">
        <f t="shared" si="10"/>
        <v>-4.3478260869565077E-2</v>
      </c>
      <c r="I67" s="134">
        <f t="shared" si="10"/>
        <v>-2.4390243902438935E-2</v>
      </c>
      <c r="J67" s="134">
        <f t="shared" si="10"/>
        <v>-3.9473684210526327E-2</v>
      </c>
      <c r="K67" s="134">
        <f t="shared" si="10"/>
        <v>-4.2253521126760396E-2</v>
      </c>
      <c r="L67" s="134">
        <f t="shared" si="10"/>
        <v>-5.9701492537313494E-2</v>
      </c>
      <c r="M67" s="134">
        <f t="shared" si="10"/>
        <v>-6.25E-2</v>
      </c>
      <c r="N67" s="134">
        <f t="shared" si="10"/>
        <v>-8.1967213114753967E-2</v>
      </c>
      <c r="O67" s="134">
        <f t="shared" si="10"/>
        <v>-8.4745762711864292E-2</v>
      </c>
    </row>
    <row r="68" spans="1:15" x14ac:dyDescent="0.25">
      <c r="A68" s="104" t="s">
        <v>176</v>
      </c>
      <c r="B68" s="134">
        <f t="shared" ref="B68:O68" si="11">B64/B$44-1</f>
        <v>0.16987179487179471</v>
      </c>
      <c r="C68" s="134">
        <f t="shared" si="11"/>
        <v>0.16470588235294126</v>
      </c>
      <c r="D68" s="134">
        <f t="shared" si="11"/>
        <v>0.15447154471544722</v>
      </c>
      <c r="E68" s="134">
        <f t="shared" si="11"/>
        <v>0.15151515151515138</v>
      </c>
      <c r="F68" s="134">
        <f t="shared" si="11"/>
        <v>0.15294117647058814</v>
      </c>
      <c r="G68" s="134">
        <f t="shared" si="11"/>
        <v>0.14473684210526305</v>
      </c>
      <c r="H68" s="134">
        <f t="shared" si="11"/>
        <v>0.14492753623188426</v>
      </c>
      <c r="I68" s="134">
        <f t="shared" si="11"/>
        <v>0.13414634146341475</v>
      </c>
      <c r="J68" s="134">
        <f t="shared" si="11"/>
        <v>0.13157894736842102</v>
      </c>
      <c r="K68" s="134">
        <f t="shared" si="11"/>
        <v>0.12676056338028174</v>
      </c>
      <c r="L68" s="134">
        <f t="shared" si="11"/>
        <v>0.13432835820895517</v>
      </c>
      <c r="M68" s="134">
        <f t="shared" si="11"/>
        <v>0.125</v>
      </c>
      <c r="N68" s="134">
        <f t="shared" si="11"/>
        <v>0.13114754098360648</v>
      </c>
      <c r="O68" s="134">
        <f t="shared" si="11"/>
        <v>0.1186440677966103</v>
      </c>
    </row>
    <row r="80" spans="1:15" x14ac:dyDescent="0.25">
      <c r="G80" s="160">
        <f>100000*1000</f>
        <v>100000000</v>
      </c>
    </row>
    <row r="81" spans="7:7" x14ac:dyDescent="0.25">
      <c r="G81" s="162">
        <f>G80/0.75</f>
        <v>133333333.33333333</v>
      </c>
    </row>
    <row r="82" spans="7:7" x14ac:dyDescent="0.25">
      <c r="G82" s="162">
        <f>G81/150000</f>
        <v>888.8888888888888</v>
      </c>
    </row>
  </sheetData>
  <pageMargins left="0.7" right="0.7" top="0.75" bottom="0.75" header="0.3" footer="0.3"/>
  <pageSetup paperSize="9" orientation="portrait" verticalDpi="0" r:id="rId1"/>
  <headerFooter>
    <oddHeader>&amp;L&amp;"Aptos"&amp;8&amp;K0000FF [PRIVATE]&amp;1#_x000D_</oddHeader>
    <oddFooter>&amp;L_x000D_&amp;1#&amp;"Aptos"&amp;8&amp;K0000FF [PRIVATE]</oddFooter>
  </headerFooter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1A2D3-4695-44EE-A514-F910602AECC2}">
  <sheetPr>
    <pageSetUpPr fitToPage="1"/>
  </sheetPr>
  <dimension ref="A1:M56"/>
  <sheetViews>
    <sheetView tabSelected="1" workbookViewId="0">
      <selection activeCell="M25" sqref="M25"/>
    </sheetView>
  </sheetViews>
  <sheetFormatPr baseColWidth="10" defaultRowHeight="15" x14ac:dyDescent="0.25"/>
  <cols>
    <col min="1" max="1" width="9.7109375" customWidth="1"/>
    <col min="3" max="3" width="43.140625" customWidth="1"/>
    <col min="4" max="4" width="15.28515625" customWidth="1"/>
    <col min="5" max="5" width="11.7109375" customWidth="1"/>
    <col min="6" max="6" width="11.85546875" customWidth="1"/>
    <col min="7" max="7" width="13.140625" customWidth="1"/>
    <col min="9" max="9" width="38.140625" customWidth="1"/>
    <col min="10" max="10" width="26.140625" customWidth="1"/>
  </cols>
  <sheetData>
    <row r="1" spans="1:13" x14ac:dyDescent="0.25">
      <c r="A1" s="4"/>
      <c r="C1" s="1"/>
      <c r="D1" s="1"/>
      <c r="E1" s="44"/>
      <c r="F1" s="34"/>
      <c r="G1" s="3"/>
    </row>
    <row r="2" spans="1:13" x14ac:dyDescent="0.25">
      <c r="C2" s="2"/>
      <c r="D2" s="2"/>
      <c r="E2" s="1" t="s">
        <v>0</v>
      </c>
      <c r="F2" s="34" t="s">
        <v>1</v>
      </c>
      <c r="G2" s="3" t="s">
        <v>2</v>
      </c>
      <c r="I2" s="49"/>
    </row>
    <row r="3" spans="1:13" x14ac:dyDescent="0.25">
      <c r="C3" s="5" t="s">
        <v>3</v>
      </c>
      <c r="D3" s="5"/>
      <c r="E3" s="5"/>
      <c r="F3" s="35"/>
      <c r="G3" s="6"/>
    </row>
    <row r="4" spans="1:13" x14ac:dyDescent="0.25">
      <c r="C4" s="5" t="s">
        <v>4</v>
      </c>
      <c r="D4" s="5"/>
      <c r="E4" s="5"/>
      <c r="F4" s="35"/>
      <c r="G4" s="6"/>
    </row>
    <row r="5" spans="1:13" x14ac:dyDescent="0.25">
      <c r="C5" s="7" t="s">
        <v>5</v>
      </c>
      <c r="D5" s="7"/>
      <c r="E5" s="7">
        <f>'CALCULADORA COSTES'!B14*'CALCULADORA COSTES'!B15</f>
        <v>6600</v>
      </c>
      <c r="F5" s="36"/>
      <c r="G5" s="8"/>
      <c r="I5" s="54"/>
    </row>
    <row r="6" spans="1:13" x14ac:dyDescent="0.25">
      <c r="C6" s="7" t="s">
        <v>6</v>
      </c>
      <c r="D6" s="7"/>
      <c r="E6" s="9">
        <f>SUM(E7:E29)</f>
        <v>3538</v>
      </c>
      <c r="F6" s="36">
        <f>E6/E$5</f>
        <v>0.53606060606060602</v>
      </c>
      <c r="G6" s="177">
        <f>E6/E$5</f>
        <v>0.53606060606060602</v>
      </c>
      <c r="I6" s="54"/>
      <c r="J6" s="158"/>
    </row>
    <row r="7" spans="1:13" x14ac:dyDescent="0.25">
      <c r="C7" s="5" t="s">
        <v>7</v>
      </c>
      <c r="D7" s="5"/>
      <c r="E7" s="5">
        <f>'CALCULADORA COSTES'!E2</f>
        <v>2000</v>
      </c>
      <c r="F7" s="36">
        <f t="shared" ref="F7:F29" si="0">E7/E$5</f>
        <v>0.30303030303030304</v>
      </c>
      <c r="G7" s="11">
        <f t="shared" ref="G7:G29" si="1">E7/E$5</f>
        <v>0.30303030303030304</v>
      </c>
    </row>
    <row r="8" spans="1:13" x14ac:dyDescent="0.25">
      <c r="C8" s="5" t="s">
        <v>8</v>
      </c>
      <c r="D8" s="5"/>
      <c r="E8" s="5">
        <v>300</v>
      </c>
      <c r="F8" s="36">
        <f>E8/E$5</f>
        <v>4.5454545454545456E-2</v>
      </c>
      <c r="G8" s="11">
        <f>E8/E$5</f>
        <v>4.5454545454545456E-2</v>
      </c>
      <c r="I8" s="2"/>
      <c r="J8" s="2"/>
    </row>
    <row r="9" spans="1:13" x14ac:dyDescent="0.25">
      <c r="C9" s="5" t="s">
        <v>9</v>
      </c>
      <c r="D9" s="5"/>
      <c r="E9" s="5">
        <v>18</v>
      </c>
      <c r="F9" s="36">
        <f t="shared" si="0"/>
        <v>2.7272727272727275E-3</v>
      </c>
      <c r="G9" s="11">
        <f t="shared" si="1"/>
        <v>2.7272727272727275E-3</v>
      </c>
      <c r="I9" s="50"/>
      <c r="J9" s="2"/>
    </row>
    <row r="10" spans="1:13" x14ac:dyDescent="0.25">
      <c r="C10" s="5" t="s">
        <v>10</v>
      </c>
      <c r="D10" s="5"/>
      <c r="E10" s="12">
        <v>162</v>
      </c>
      <c r="F10" s="36">
        <f t="shared" si="0"/>
        <v>2.4545454545454544E-2</v>
      </c>
      <c r="G10" s="11">
        <f t="shared" si="1"/>
        <v>2.4545454545454544E-2</v>
      </c>
      <c r="I10" s="2"/>
      <c r="J10" s="2"/>
    </row>
    <row r="11" spans="1:13" x14ac:dyDescent="0.25">
      <c r="C11" s="13" t="s">
        <v>11</v>
      </c>
      <c r="D11" s="13"/>
      <c r="E11" s="13">
        <v>100</v>
      </c>
      <c r="F11" s="36">
        <f t="shared" si="0"/>
        <v>1.5151515151515152E-2</v>
      </c>
      <c r="G11" s="14">
        <f t="shared" si="1"/>
        <v>1.5151515151515152E-2</v>
      </c>
      <c r="M11" s="52"/>
    </row>
    <row r="12" spans="1:13" x14ac:dyDescent="0.25">
      <c r="C12" s="5" t="s">
        <v>12</v>
      </c>
      <c r="D12" s="5"/>
      <c r="E12" s="5">
        <v>50</v>
      </c>
      <c r="F12" s="36">
        <f t="shared" si="0"/>
        <v>7.575757575757576E-3</v>
      </c>
      <c r="G12" s="11">
        <f t="shared" si="1"/>
        <v>7.575757575757576E-3</v>
      </c>
      <c r="M12" s="52"/>
    </row>
    <row r="13" spans="1:13" x14ac:dyDescent="0.25">
      <c r="C13" s="5" t="s">
        <v>13</v>
      </c>
      <c r="D13" s="5"/>
      <c r="E13" s="12">
        <v>100</v>
      </c>
      <c r="F13" s="36">
        <f t="shared" si="0"/>
        <v>1.5151515151515152E-2</v>
      </c>
      <c r="G13" s="11">
        <f t="shared" si="1"/>
        <v>1.5151515151515152E-2</v>
      </c>
      <c r="M13" s="52"/>
    </row>
    <row r="14" spans="1:13" x14ac:dyDescent="0.25">
      <c r="C14" s="5" t="s">
        <v>14</v>
      </c>
      <c r="D14" s="5"/>
      <c r="E14" s="5">
        <f>'CALCULADORA COSTES'!B20</f>
        <v>450</v>
      </c>
      <c r="F14" s="36">
        <f t="shared" si="0"/>
        <v>6.8181818181818177E-2</v>
      </c>
      <c r="G14" s="11">
        <f t="shared" si="1"/>
        <v>6.8181818181818177E-2</v>
      </c>
    </row>
    <row r="15" spans="1:13" x14ac:dyDescent="0.25">
      <c r="C15" s="5" t="s">
        <v>15</v>
      </c>
      <c r="D15" s="5"/>
      <c r="E15" s="12">
        <v>25</v>
      </c>
      <c r="F15" s="36">
        <f t="shared" si="0"/>
        <v>3.787878787878788E-3</v>
      </c>
      <c r="G15" s="11">
        <f t="shared" si="1"/>
        <v>3.787878787878788E-3</v>
      </c>
    </row>
    <row r="16" spans="1:13" x14ac:dyDescent="0.25">
      <c r="C16" s="5" t="s">
        <v>16</v>
      </c>
      <c r="D16" s="5"/>
      <c r="E16" s="12">
        <v>18</v>
      </c>
      <c r="F16" s="36">
        <f t="shared" si="0"/>
        <v>2.7272727272727275E-3</v>
      </c>
      <c r="G16" s="11">
        <f t="shared" si="1"/>
        <v>2.7272727272727275E-3</v>
      </c>
    </row>
    <row r="17" spans="3:7" x14ac:dyDescent="0.25">
      <c r="C17" s="5" t="s">
        <v>17</v>
      </c>
      <c r="D17" s="5"/>
      <c r="E17" s="12">
        <v>100</v>
      </c>
      <c r="F17" s="36">
        <f t="shared" si="0"/>
        <v>1.5151515151515152E-2</v>
      </c>
      <c r="G17" s="11">
        <f t="shared" si="1"/>
        <v>1.5151515151515152E-2</v>
      </c>
    </row>
    <row r="18" spans="3:7" x14ac:dyDescent="0.25">
      <c r="C18" s="5" t="s">
        <v>18</v>
      </c>
      <c r="D18" s="5"/>
      <c r="E18" s="5">
        <v>50</v>
      </c>
      <c r="F18" s="36">
        <f t="shared" si="0"/>
        <v>7.575757575757576E-3</v>
      </c>
      <c r="G18" s="11">
        <f t="shared" si="1"/>
        <v>7.575757575757576E-3</v>
      </c>
    </row>
    <row r="19" spans="3:7" x14ac:dyDescent="0.25">
      <c r="C19" s="5" t="s">
        <v>19</v>
      </c>
      <c r="D19" s="5"/>
      <c r="E19" s="5">
        <v>150</v>
      </c>
      <c r="F19" s="36">
        <f t="shared" si="0"/>
        <v>2.2727272727272728E-2</v>
      </c>
      <c r="G19" s="11">
        <f t="shared" si="1"/>
        <v>2.2727272727272728E-2</v>
      </c>
    </row>
    <row r="20" spans="3:7" x14ac:dyDescent="0.25">
      <c r="C20" s="5" t="s">
        <v>20</v>
      </c>
      <c r="D20" s="5"/>
      <c r="E20" s="12">
        <v>15</v>
      </c>
      <c r="F20" s="36">
        <f t="shared" si="0"/>
        <v>2.2727272727272726E-3</v>
      </c>
      <c r="G20" s="11">
        <f t="shared" si="1"/>
        <v>2.2727272727272726E-3</v>
      </c>
    </row>
    <row r="21" spans="3:7" x14ac:dyDescent="0.25">
      <c r="C21" s="5" t="s">
        <v>21</v>
      </c>
      <c r="D21" s="5"/>
      <c r="E21" s="5"/>
      <c r="F21" s="36">
        <f t="shared" si="0"/>
        <v>0</v>
      </c>
      <c r="G21" s="11">
        <f t="shared" si="1"/>
        <v>0</v>
      </c>
    </row>
    <row r="22" spans="3:7" x14ac:dyDescent="0.25">
      <c r="C22" s="5" t="s">
        <v>22</v>
      </c>
      <c r="D22" s="5"/>
      <c r="E22" s="5"/>
      <c r="F22" s="36">
        <f t="shared" si="0"/>
        <v>0</v>
      </c>
      <c r="G22" s="11">
        <f t="shared" si="1"/>
        <v>0</v>
      </c>
    </row>
    <row r="23" spans="3:7" x14ac:dyDescent="0.25">
      <c r="C23" s="5" t="s">
        <v>23</v>
      </c>
      <c r="D23" s="5"/>
      <c r="E23" s="5"/>
      <c r="F23" s="36">
        <f t="shared" si="0"/>
        <v>0</v>
      </c>
      <c r="G23" s="11">
        <f t="shared" si="1"/>
        <v>0</v>
      </c>
    </row>
    <row r="24" spans="3:7" x14ac:dyDescent="0.25">
      <c r="C24" s="5" t="s">
        <v>24</v>
      </c>
      <c r="D24" s="5"/>
      <c r="E24" s="5"/>
      <c r="F24" s="36">
        <f t="shared" si="0"/>
        <v>0</v>
      </c>
      <c r="G24" s="11">
        <f t="shared" si="1"/>
        <v>0</v>
      </c>
    </row>
    <row r="25" spans="3:7" x14ac:dyDescent="0.25">
      <c r="C25" s="5" t="s">
        <v>25</v>
      </c>
      <c r="D25" s="5"/>
      <c r="E25" s="5"/>
      <c r="F25" s="36">
        <f t="shared" si="0"/>
        <v>0</v>
      </c>
      <c r="G25" s="11">
        <f t="shared" si="1"/>
        <v>0</v>
      </c>
    </row>
    <row r="26" spans="3:7" x14ac:dyDescent="0.25">
      <c r="C26" s="5" t="s">
        <v>26</v>
      </c>
      <c r="D26" s="5"/>
      <c r="E26" s="5"/>
      <c r="F26" s="36">
        <f t="shared" si="0"/>
        <v>0</v>
      </c>
      <c r="G26" s="11">
        <f t="shared" si="1"/>
        <v>0</v>
      </c>
    </row>
    <row r="27" spans="3:7" x14ac:dyDescent="0.25">
      <c r="C27" s="5" t="s">
        <v>27</v>
      </c>
      <c r="D27" s="5"/>
      <c r="E27" s="5"/>
      <c r="F27" s="36">
        <f t="shared" si="0"/>
        <v>0</v>
      </c>
      <c r="G27" s="11">
        <f t="shared" si="1"/>
        <v>0</v>
      </c>
    </row>
    <row r="28" spans="3:7" x14ac:dyDescent="0.25">
      <c r="C28" s="13" t="s">
        <v>45</v>
      </c>
      <c r="D28" s="13"/>
      <c r="E28" s="13"/>
      <c r="F28" s="36">
        <f t="shared" si="0"/>
        <v>0</v>
      </c>
      <c r="G28" s="15">
        <f t="shared" si="1"/>
        <v>0</v>
      </c>
    </row>
    <row r="29" spans="3:7" x14ac:dyDescent="0.25">
      <c r="C29" s="5" t="s">
        <v>28</v>
      </c>
      <c r="D29" s="5"/>
      <c r="E29" s="5"/>
      <c r="F29" s="36">
        <f t="shared" si="0"/>
        <v>0</v>
      </c>
      <c r="G29" s="11">
        <f t="shared" si="1"/>
        <v>0</v>
      </c>
    </row>
    <row r="30" spans="3:7" x14ac:dyDescent="0.25">
      <c r="C30" s="7" t="s">
        <v>29</v>
      </c>
      <c r="D30" s="7"/>
      <c r="E30" s="9">
        <f>SUM(E31:E37)</f>
        <v>5130.6399999999994</v>
      </c>
      <c r="F30" s="38">
        <f>E30/E5</f>
        <v>0.77736969696969693</v>
      </c>
      <c r="G30" s="16">
        <f>SUM(G31:G37)</f>
        <v>0.77736969696969693</v>
      </c>
    </row>
    <row r="31" spans="3:7" x14ac:dyDescent="0.25">
      <c r="C31" s="5" t="s">
        <v>30</v>
      </c>
      <c r="D31" s="5">
        <f>'CALCULADORA COSTES'!B17*'CALCULADORA COSTES'!B16</f>
        <v>3048</v>
      </c>
      <c r="E31" s="5">
        <f>D31</f>
        <v>3048</v>
      </c>
      <c r="F31" s="37">
        <f>E31/E5</f>
        <v>0.46181818181818179</v>
      </c>
      <c r="G31" s="17">
        <f>E31/E5</f>
        <v>0.46181818181818179</v>
      </c>
    </row>
    <row r="32" spans="3:7" x14ac:dyDescent="0.25">
      <c r="C32" s="5"/>
      <c r="D32" s="5" t="s">
        <v>268</v>
      </c>
      <c r="E32" s="5"/>
      <c r="F32" s="37">
        <f>E32/E5</f>
        <v>0</v>
      </c>
      <c r="G32" s="17">
        <f>E32/E5</f>
        <v>0</v>
      </c>
    </row>
    <row r="33" spans="3:7" x14ac:dyDescent="0.25">
      <c r="C33" s="13" t="s">
        <v>43</v>
      </c>
      <c r="D33" s="13">
        <f>'CALCULADORA COSTES'!B2*'CALCULADORA COSTES'!C2</f>
        <v>0.28000000000000003</v>
      </c>
      <c r="E33" s="18">
        <f>+D33*E5</f>
        <v>1848.0000000000002</v>
      </c>
      <c r="F33" s="37">
        <f>E33/E5</f>
        <v>0.28000000000000003</v>
      </c>
      <c r="G33" s="17">
        <f>E33/E5</f>
        <v>0.28000000000000003</v>
      </c>
    </row>
    <row r="34" spans="3:7" x14ac:dyDescent="0.25">
      <c r="C34" s="13" t="s">
        <v>46</v>
      </c>
      <c r="D34" s="43"/>
      <c r="E34" s="13">
        <f>'CALCULADORA COSTES'!E24*'CALCULADORA COSTES'!E25</f>
        <v>0</v>
      </c>
      <c r="F34" s="37">
        <f>E34/E5</f>
        <v>0</v>
      </c>
      <c r="G34" s="17">
        <f>E34/E5</f>
        <v>0</v>
      </c>
    </row>
    <row r="35" spans="3:7" x14ac:dyDescent="0.25">
      <c r="C35" s="5" t="s">
        <v>39</v>
      </c>
      <c r="D35" s="5">
        <v>1.0200000000000001E-2</v>
      </c>
      <c r="E35" s="12">
        <f>+D35*E5</f>
        <v>67.320000000000007</v>
      </c>
      <c r="F35" s="37">
        <f>E35/E5</f>
        <v>1.0200000000000001E-2</v>
      </c>
      <c r="G35" s="17">
        <f>E35/E5</f>
        <v>1.0200000000000001E-2</v>
      </c>
    </row>
    <row r="36" spans="3:7" x14ac:dyDescent="0.25">
      <c r="C36" s="5" t="s">
        <v>40</v>
      </c>
      <c r="D36" s="5">
        <v>1.0200000000000001E-2</v>
      </c>
      <c r="E36" s="12">
        <f>+D36*E5</f>
        <v>67.320000000000007</v>
      </c>
      <c r="F36" s="37">
        <f>E36/E5</f>
        <v>1.0200000000000001E-2</v>
      </c>
      <c r="G36" s="17">
        <f>E36/E5</f>
        <v>1.0200000000000001E-2</v>
      </c>
    </row>
    <row r="37" spans="3:7" x14ac:dyDescent="0.25">
      <c r="C37" s="5" t="s">
        <v>31</v>
      </c>
      <c r="D37" s="5"/>
      <c r="E37" s="12">
        <v>100</v>
      </c>
      <c r="F37" s="37">
        <f>E37/E5</f>
        <v>1.5151515151515152E-2</v>
      </c>
      <c r="G37" s="17">
        <f>E37/E5</f>
        <v>1.5151515151515152E-2</v>
      </c>
    </row>
    <row r="38" spans="3:7" x14ac:dyDescent="0.25">
      <c r="C38" s="19"/>
      <c r="D38" s="19"/>
      <c r="E38" s="19"/>
      <c r="F38" s="39"/>
      <c r="G38" s="20"/>
    </row>
    <row r="39" spans="3:7" ht="15.75" thickBot="1" x14ac:dyDescent="0.3">
      <c r="C39" s="19"/>
      <c r="D39" s="19"/>
      <c r="E39" s="19"/>
      <c r="F39" s="39"/>
      <c r="G39" s="20"/>
    </row>
    <row r="40" spans="3:7" ht="15.75" thickBot="1" x14ac:dyDescent="0.3">
      <c r="C40" s="21" t="s">
        <v>32</v>
      </c>
      <c r="D40" s="22"/>
      <c r="E40" s="23">
        <f>E30+E6</f>
        <v>8668.64</v>
      </c>
      <c r="F40" s="40">
        <v>1</v>
      </c>
      <c r="G40" s="46">
        <f>SUM(G30+G6)</f>
        <v>1.3134303030303029</v>
      </c>
    </row>
    <row r="41" spans="3:7" x14ac:dyDescent="0.25">
      <c r="C41" s="19"/>
      <c r="D41" s="19"/>
      <c r="E41" s="19"/>
      <c r="F41" s="39">
        <v>0</v>
      </c>
      <c r="G41" s="24">
        <v>0</v>
      </c>
    </row>
    <row r="42" spans="3:7" x14ac:dyDescent="0.25">
      <c r="C42" s="5" t="s">
        <v>33</v>
      </c>
      <c r="D42" s="5"/>
      <c r="E42" s="5">
        <v>275</v>
      </c>
      <c r="F42" s="37">
        <f>E42/E5</f>
        <v>4.1666666666666664E-2</v>
      </c>
      <c r="G42" s="17">
        <f>E42/E5</f>
        <v>4.1666666666666664E-2</v>
      </c>
    </row>
    <row r="43" spans="3:7" x14ac:dyDescent="0.25">
      <c r="C43" s="5" t="s">
        <v>41</v>
      </c>
      <c r="D43" s="45">
        <v>0.04</v>
      </c>
      <c r="E43" s="12">
        <f>+E40*0.04</f>
        <v>346.74559999999997</v>
      </c>
      <c r="F43" s="37">
        <f>E43/E5</f>
        <v>5.2537212121212117E-2</v>
      </c>
      <c r="G43" s="17">
        <f>E43/E5</f>
        <v>5.2537212121212117E-2</v>
      </c>
    </row>
    <row r="44" spans="3:7" x14ac:dyDescent="0.25">
      <c r="C44" s="5" t="s">
        <v>34</v>
      </c>
      <c r="D44" s="5"/>
      <c r="E44" s="5"/>
      <c r="F44" s="35">
        <v>0</v>
      </c>
      <c r="G44" s="25">
        <v>0</v>
      </c>
    </row>
    <row r="45" spans="3:7" x14ac:dyDescent="0.25">
      <c r="C45" s="5" t="s">
        <v>35</v>
      </c>
      <c r="D45" s="5"/>
      <c r="E45" s="5"/>
      <c r="F45" s="35">
        <v>0</v>
      </c>
      <c r="G45" s="25">
        <v>0</v>
      </c>
    </row>
    <row r="46" spans="3:7" x14ac:dyDescent="0.25">
      <c r="C46" s="7" t="s">
        <v>36</v>
      </c>
      <c r="D46" s="7"/>
      <c r="E46" s="26">
        <f>E40+SUM(E42:E45)</f>
        <v>9290.3855999999996</v>
      </c>
      <c r="F46" s="27">
        <v>1</v>
      </c>
      <c r="G46" s="47">
        <f>SUM(G40:G45)</f>
        <v>1.4076341818181819</v>
      </c>
    </row>
    <row r="47" spans="3:7" ht="15.75" thickBot="1" x14ac:dyDescent="0.3">
      <c r="C47" s="28" t="s">
        <v>37</v>
      </c>
      <c r="D47" s="28"/>
      <c r="E47" s="29"/>
      <c r="F47" s="41"/>
      <c r="G47" s="30"/>
    </row>
    <row r="48" spans="3:7" ht="15.75" thickBot="1" x14ac:dyDescent="0.3">
      <c r="C48" s="31" t="s">
        <v>38</v>
      </c>
      <c r="D48" s="22"/>
      <c r="E48" s="32">
        <f>G46+E47</f>
        <v>1.4076341818181819</v>
      </c>
      <c r="F48" s="42"/>
      <c r="G48" s="33"/>
    </row>
    <row r="56" spans="4:4" x14ac:dyDescent="0.25">
      <c r="D56" s="103"/>
    </row>
  </sheetData>
  <pageMargins left="0" right="0" top="0" bottom="0" header="0.31496062992125984" footer="0.31496062992125984"/>
  <pageSetup paperSize="9" scale="88" orientation="portrait" r:id="rId1"/>
  <headerFooter>
    <oddHeader>&amp;L&amp;"Aptos"&amp;8&amp;K0000FF [PRIVATE]&amp;1#_x000D_</oddHeader>
    <oddFooter>&amp;L_x000D_&amp;1#&amp;"Aptos"&amp;8&amp;K0000FF [PRIVATE]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7"/>
  <sheetViews>
    <sheetView workbookViewId="0">
      <selection activeCell="D32" sqref="D32"/>
    </sheetView>
  </sheetViews>
  <sheetFormatPr baseColWidth="10" defaultRowHeight="15" x14ac:dyDescent="0.25"/>
  <cols>
    <col min="1" max="1" width="9.7109375" customWidth="1"/>
    <col min="3" max="3" width="43.140625" customWidth="1"/>
    <col min="4" max="4" width="11.140625" customWidth="1"/>
    <col min="5" max="5" width="11.7109375" customWidth="1"/>
    <col min="6" max="6" width="7.7109375" customWidth="1"/>
    <col min="7" max="7" width="13.140625" customWidth="1"/>
    <col min="9" max="9" width="31.28515625" customWidth="1"/>
    <col min="10" max="10" width="25.85546875" customWidth="1"/>
  </cols>
  <sheetData>
    <row r="1" spans="1:10" x14ac:dyDescent="0.25">
      <c r="A1" s="4"/>
      <c r="C1" s="1" t="s">
        <v>42</v>
      </c>
      <c r="D1" s="1"/>
      <c r="E1" s="44"/>
      <c r="F1" s="34"/>
      <c r="G1" s="3"/>
      <c r="I1" s="49"/>
    </row>
    <row r="2" spans="1:10" x14ac:dyDescent="0.25">
      <c r="C2" s="2"/>
      <c r="D2" s="2"/>
      <c r="E2" s="1" t="s">
        <v>0</v>
      </c>
      <c r="F2" s="34" t="s">
        <v>1</v>
      </c>
      <c r="G2" s="3" t="s">
        <v>2</v>
      </c>
    </row>
    <row r="3" spans="1:10" x14ac:dyDescent="0.25">
      <c r="C3" s="5" t="s">
        <v>3</v>
      </c>
      <c r="D3" s="5"/>
      <c r="E3" s="5"/>
      <c r="F3" s="35"/>
      <c r="G3" s="6"/>
    </row>
    <row r="4" spans="1:10" x14ac:dyDescent="0.25">
      <c r="C4" s="5" t="s">
        <v>4</v>
      </c>
      <c r="D4" s="5"/>
      <c r="E4" s="5"/>
      <c r="F4" s="35"/>
      <c r="G4" s="6"/>
    </row>
    <row r="5" spans="1:10" x14ac:dyDescent="0.25">
      <c r="C5" s="7" t="s">
        <v>5</v>
      </c>
      <c r="D5" s="7"/>
      <c r="E5" s="7">
        <f>'CALCULADORA COSTES'!B14*'CALCULADORA COSTES'!B15</f>
        <v>6600</v>
      </c>
      <c r="F5" s="36"/>
      <c r="G5" s="8"/>
    </row>
    <row r="6" spans="1:10" x14ac:dyDescent="0.25">
      <c r="C6" s="7" t="s">
        <v>6</v>
      </c>
      <c r="D6" s="7"/>
      <c r="E6" s="9">
        <f>SUM(E7:E29)</f>
        <v>4109</v>
      </c>
      <c r="F6" s="36">
        <f>E6/E$5</f>
        <v>0.62257575757575756</v>
      </c>
      <c r="G6" s="10">
        <f>E6/E$5</f>
        <v>0.62257575757575756</v>
      </c>
    </row>
    <row r="7" spans="1:10" x14ac:dyDescent="0.25">
      <c r="C7" s="5" t="s">
        <v>7</v>
      </c>
      <c r="D7" s="5"/>
      <c r="E7" s="5">
        <f>'CALCULADORA COSTES'!E3</f>
        <v>2400</v>
      </c>
      <c r="F7" s="36">
        <f t="shared" ref="F7:F29" si="0">E7/E$5</f>
        <v>0.36363636363636365</v>
      </c>
      <c r="G7" s="11">
        <f t="shared" ref="G7:G29" si="1">E7/E$5</f>
        <v>0.36363636363636365</v>
      </c>
      <c r="I7" s="2"/>
      <c r="J7" s="2"/>
    </row>
    <row r="8" spans="1:10" x14ac:dyDescent="0.25">
      <c r="C8" s="5" t="s">
        <v>8</v>
      </c>
      <c r="D8" s="5"/>
      <c r="E8" s="5">
        <v>300</v>
      </c>
      <c r="F8" s="36">
        <f>E8/E$5</f>
        <v>4.5454545454545456E-2</v>
      </c>
      <c r="G8" s="11">
        <f>E8/E$5</f>
        <v>4.5454545454545456E-2</v>
      </c>
      <c r="I8" s="51"/>
      <c r="J8" s="2"/>
    </row>
    <row r="9" spans="1:10" x14ac:dyDescent="0.25">
      <c r="C9" s="5" t="s">
        <v>9</v>
      </c>
      <c r="D9" s="5"/>
      <c r="E9" s="5">
        <v>18</v>
      </c>
      <c r="F9" s="36">
        <f t="shared" si="0"/>
        <v>2.7272727272727275E-3</v>
      </c>
      <c r="G9" s="11">
        <f t="shared" si="1"/>
        <v>2.7272727272727275E-3</v>
      </c>
      <c r="I9" s="2"/>
      <c r="J9" s="2"/>
    </row>
    <row r="10" spans="1:10" x14ac:dyDescent="0.25">
      <c r="C10" s="5" t="s">
        <v>10</v>
      </c>
      <c r="D10" s="5"/>
      <c r="E10" s="12">
        <v>348</v>
      </c>
      <c r="F10" s="36">
        <f t="shared" si="0"/>
        <v>5.2727272727272727E-2</v>
      </c>
      <c r="G10" s="11">
        <f t="shared" si="1"/>
        <v>5.2727272727272727E-2</v>
      </c>
    </row>
    <row r="11" spans="1:10" x14ac:dyDescent="0.25">
      <c r="C11" s="13" t="s">
        <v>11</v>
      </c>
      <c r="D11" s="13"/>
      <c r="E11" s="13">
        <v>100</v>
      </c>
      <c r="F11" s="36">
        <f t="shared" si="0"/>
        <v>1.5151515151515152E-2</v>
      </c>
      <c r="G11" s="14">
        <f t="shared" si="1"/>
        <v>1.5151515151515152E-2</v>
      </c>
    </row>
    <row r="12" spans="1:10" x14ac:dyDescent="0.25">
      <c r="C12" s="5" t="s">
        <v>12</v>
      </c>
      <c r="D12" s="5"/>
      <c r="E12" s="5">
        <v>50</v>
      </c>
      <c r="F12" s="36">
        <f t="shared" si="0"/>
        <v>7.575757575757576E-3</v>
      </c>
      <c r="G12" s="11">
        <f t="shared" si="1"/>
        <v>7.575757575757576E-3</v>
      </c>
    </row>
    <row r="13" spans="1:10" x14ac:dyDescent="0.25">
      <c r="C13" s="5" t="s">
        <v>13</v>
      </c>
      <c r="D13" s="5"/>
      <c r="E13" s="12">
        <v>100</v>
      </c>
      <c r="F13" s="36">
        <f t="shared" si="0"/>
        <v>1.5151515151515152E-2</v>
      </c>
      <c r="G13" s="11">
        <f t="shared" si="1"/>
        <v>1.5151515151515152E-2</v>
      </c>
    </row>
    <row r="14" spans="1:10" x14ac:dyDescent="0.25">
      <c r="C14" s="5" t="s">
        <v>14</v>
      </c>
      <c r="D14" s="5"/>
      <c r="E14" s="5">
        <f>'CALCULADORA COSTES'!B20</f>
        <v>450</v>
      </c>
      <c r="F14" s="36">
        <f t="shared" si="0"/>
        <v>6.8181818181818177E-2</v>
      </c>
      <c r="G14" s="11">
        <f t="shared" si="1"/>
        <v>6.8181818181818177E-2</v>
      </c>
    </row>
    <row r="15" spans="1:10" x14ac:dyDescent="0.25">
      <c r="C15" s="5" t="s">
        <v>15</v>
      </c>
      <c r="D15" s="5"/>
      <c r="E15" s="12">
        <v>25</v>
      </c>
      <c r="F15" s="36">
        <f t="shared" si="0"/>
        <v>3.787878787878788E-3</v>
      </c>
      <c r="G15" s="11">
        <f t="shared" si="1"/>
        <v>3.787878787878788E-3</v>
      </c>
    </row>
    <row r="16" spans="1:10" x14ac:dyDescent="0.25">
      <c r="C16" s="5" t="s">
        <v>16</v>
      </c>
      <c r="D16" s="5"/>
      <c r="E16" s="12">
        <v>18</v>
      </c>
      <c r="F16" s="36">
        <f t="shared" si="0"/>
        <v>2.7272727272727275E-3</v>
      </c>
      <c r="G16" s="11">
        <f t="shared" si="1"/>
        <v>2.7272727272727275E-3</v>
      </c>
    </row>
    <row r="17" spans="3:7" x14ac:dyDescent="0.25">
      <c r="C17" s="5" t="s">
        <v>17</v>
      </c>
      <c r="D17" s="5"/>
      <c r="E17" s="12">
        <v>150</v>
      </c>
      <c r="F17" s="36">
        <f t="shared" si="0"/>
        <v>2.2727272727272728E-2</v>
      </c>
      <c r="G17" s="11">
        <f t="shared" si="1"/>
        <v>2.2727272727272728E-2</v>
      </c>
    </row>
    <row r="18" spans="3:7" x14ac:dyDescent="0.25">
      <c r="C18" s="5" t="s">
        <v>18</v>
      </c>
      <c r="D18" s="5"/>
      <c r="E18" s="5">
        <v>50</v>
      </c>
      <c r="F18" s="36">
        <f t="shared" si="0"/>
        <v>7.575757575757576E-3</v>
      </c>
      <c r="G18" s="11">
        <f t="shared" si="1"/>
        <v>7.575757575757576E-3</v>
      </c>
    </row>
    <row r="19" spans="3:7" x14ac:dyDescent="0.25">
      <c r="C19" s="5" t="s">
        <v>19</v>
      </c>
      <c r="D19" s="5"/>
      <c r="E19" s="5">
        <v>85</v>
      </c>
      <c r="F19" s="36">
        <f t="shared" si="0"/>
        <v>1.2878787878787878E-2</v>
      </c>
      <c r="G19" s="11">
        <f t="shared" si="1"/>
        <v>1.2878787878787878E-2</v>
      </c>
    </row>
    <row r="20" spans="3:7" x14ac:dyDescent="0.25">
      <c r="C20" s="5" t="s">
        <v>20</v>
      </c>
      <c r="D20" s="5"/>
      <c r="E20" s="12">
        <v>15</v>
      </c>
      <c r="F20" s="36">
        <f t="shared" si="0"/>
        <v>2.2727272727272726E-3</v>
      </c>
      <c r="G20" s="11">
        <f t="shared" si="1"/>
        <v>2.2727272727272726E-3</v>
      </c>
    </row>
    <row r="21" spans="3:7" x14ac:dyDescent="0.25">
      <c r="C21" s="5" t="s">
        <v>21</v>
      </c>
      <c r="D21" s="5"/>
      <c r="E21" s="5"/>
      <c r="F21" s="36">
        <f t="shared" si="0"/>
        <v>0</v>
      </c>
      <c r="G21" s="11">
        <f t="shared" si="1"/>
        <v>0</v>
      </c>
    </row>
    <row r="22" spans="3:7" x14ac:dyDescent="0.25">
      <c r="C22" s="5" t="s">
        <v>22</v>
      </c>
      <c r="D22" s="5"/>
      <c r="E22" s="5"/>
      <c r="F22" s="36">
        <f t="shared" si="0"/>
        <v>0</v>
      </c>
      <c r="G22" s="11">
        <f t="shared" si="1"/>
        <v>0</v>
      </c>
    </row>
    <row r="23" spans="3:7" x14ac:dyDescent="0.25">
      <c r="C23" s="5" t="s">
        <v>23</v>
      </c>
      <c r="D23" s="5"/>
      <c r="E23" s="5"/>
      <c r="F23" s="36">
        <f t="shared" si="0"/>
        <v>0</v>
      </c>
      <c r="G23" s="11">
        <f t="shared" si="1"/>
        <v>0</v>
      </c>
    </row>
    <row r="24" spans="3:7" ht="13.5" customHeight="1" x14ac:dyDescent="0.25">
      <c r="C24" s="5" t="s">
        <v>24</v>
      </c>
      <c r="D24" s="5"/>
      <c r="E24" s="5"/>
      <c r="F24" s="36">
        <f t="shared" si="0"/>
        <v>0</v>
      </c>
      <c r="G24" s="11">
        <f t="shared" si="1"/>
        <v>0</v>
      </c>
    </row>
    <row r="25" spans="3:7" x14ac:dyDescent="0.25">
      <c r="C25" s="5" t="s">
        <v>25</v>
      </c>
      <c r="D25" s="5"/>
      <c r="E25" s="5"/>
      <c r="F25" s="36">
        <f t="shared" si="0"/>
        <v>0</v>
      </c>
      <c r="G25" s="11">
        <f t="shared" si="1"/>
        <v>0</v>
      </c>
    </row>
    <row r="26" spans="3:7" x14ac:dyDescent="0.25">
      <c r="C26" s="5" t="s">
        <v>26</v>
      </c>
      <c r="D26" s="5"/>
      <c r="E26" s="5"/>
      <c r="F26" s="36">
        <f t="shared" si="0"/>
        <v>0</v>
      </c>
      <c r="G26" s="11">
        <f t="shared" si="1"/>
        <v>0</v>
      </c>
    </row>
    <row r="27" spans="3:7" x14ac:dyDescent="0.25">
      <c r="C27" s="5" t="s">
        <v>27</v>
      </c>
      <c r="D27" s="5"/>
      <c r="E27" s="5"/>
      <c r="F27" s="36">
        <f t="shared" si="0"/>
        <v>0</v>
      </c>
      <c r="G27" s="11">
        <f t="shared" si="1"/>
        <v>0</v>
      </c>
    </row>
    <row r="28" spans="3:7" x14ac:dyDescent="0.25">
      <c r="C28" s="13" t="s">
        <v>45</v>
      </c>
      <c r="D28" s="13"/>
      <c r="E28" s="13">
        <v>0</v>
      </c>
      <c r="F28" s="36">
        <f t="shared" si="0"/>
        <v>0</v>
      </c>
      <c r="G28" s="15">
        <f t="shared" si="1"/>
        <v>0</v>
      </c>
    </row>
    <row r="29" spans="3:7" x14ac:dyDescent="0.25">
      <c r="C29" s="5" t="s">
        <v>28</v>
      </c>
      <c r="D29" s="5"/>
      <c r="E29" s="5"/>
      <c r="F29" s="36">
        <f t="shared" si="0"/>
        <v>0</v>
      </c>
      <c r="G29" s="11">
        <f t="shared" si="1"/>
        <v>0</v>
      </c>
    </row>
    <row r="30" spans="3:7" x14ac:dyDescent="0.25">
      <c r="C30" s="7" t="s">
        <v>29</v>
      </c>
      <c r="D30" s="7"/>
      <c r="E30" s="9">
        <f>SUM(E31:E36)</f>
        <v>6394.4800000000005</v>
      </c>
      <c r="F30" s="38">
        <f>E30/E5</f>
        <v>0.96886060606060609</v>
      </c>
      <c r="G30" s="16">
        <f>SUM(G31:G36)</f>
        <v>0.96886060606060609</v>
      </c>
    </row>
    <row r="31" spans="3:7" x14ac:dyDescent="0.25">
      <c r="C31" s="5" t="s">
        <v>30</v>
      </c>
      <c r="D31" s="5">
        <f>'CALCULADORA COSTES'!B17*'CALCULADORA COSTES'!B16</f>
        <v>3048</v>
      </c>
      <c r="E31" s="5">
        <f>D31*(1+'CALCULADORA COSTES'!E26)</f>
        <v>3200.4</v>
      </c>
      <c r="F31" s="37">
        <f>E31/E5</f>
        <v>0.4849090909090909</v>
      </c>
      <c r="G31" s="17">
        <f>E31/E5</f>
        <v>0.4849090909090909</v>
      </c>
    </row>
    <row r="32" spans="3:7" x14ac:dyDescent="0.25">
      <c r="C32" s="13" t="s">
        <v>299</v>
      </c>
      <c r="D32" s="13">
        <f>'CALCULADORA COSTES'!B3*'CALCULADORA COSTES'!C3</f>
        <v>0.44880000000000003</v>
      </c>
      <c r="E32" s="18">
        <f>+D32*E5</f>
        <v>2962.0800000000004</v>
      </c>
      <c r="F32" s="37">
        <f>E32/E5</f>
        <v>0.44880000000000003</v>
      </c>
      <c r="G32" s="17">
        <f>E32/E5</f>
        <v>0.44880000000000003</v>
      </c>
    </row>
    <row r="33" spans="3:8" x14ac:dyDescent="0.25">
      <c r="C33" s="13" t="s">
        <v>46</v>
      </c>
      <c r="D33" s="43">
        <f>0</f>
        <v>0</v>
      </c>
      <c r="E33" s="13">
        <f>'CALCULADORA COSTES'!E24*'CALCULADORA COSTES'!E25</f>
        <v>0</v>
      </c>
      <c r="F33" s="37">
        <f>E33/E5</f>
        <v>0</v>
      </c>
      <c r="G33" s="17">
        <f>E33/E5</f>
        <v>0</v>
      </c>
    </row>
    <row r="34" spans="3:8" x14ac:dyDescent="0.25">
      <c r="C34" s="5" t="s">
        <v>39</v>
      </c>
      <c r="D34" s="5">
        <v>0.01</v>
      </c>
      <c r="E34" s="12">
        <f>+D34*E5</f>
        <v>66</v>
      </c>
      <c r="F34" s="37">
        <f>E34/E5</f>
        <v>0.01</v>
      </c>
      <c r="G34" s="17">
        <f>E34/E5</f>
        <v>0.01</v>
      </c>
    </row>
    <row r="35" spans="3:8" x14ac:dyDescent="0.25">
      <c r="C35" s="5" t="s">
        <v>40</v>
      </c>
      <c r="D35" s="5">
        <v>0.01</v>
      </c>
      <c r="E35" s="12">
        <f>+D35*E5</f>
        <v>66</v>
      </c>
      <c r="F35" s="37">
        <f>E35/E5</f>
        <v>0.01</v>
      </c>
      <c r="G35" s="17">
        <f>E35/E5</f>
        <v>0.01</v>
      </c>
    </row>
    <row r="36" spans="3:8" x14ac:dyDescent="0.25">
      <c r="C36" s="5" t="s">
        <v>31</v>
      </c>
      <c r="D36" s="5"/>
      <c r="E36" s="12">
        <v>100</v>
      </c>
      <c r="F36" s="37">
        <f>E36/E5</f>
        <v>1.5151515151515152E-2</v>
      </c>
      <c r="G36" s="17">
        <f>E36/E5</f>
        <v>1.5151515151515152E-2</v>
      </c>
    </row>
    <row r="37" spans="3:8" x14ac:dyDescent="0.25">
      <c r="C37" s="19"/>
      <c r="D37" s="19"/>
      <c r="E37" s="19"/>
      <c r="F37" s="39"/>
      <c r="G37" s="20"/>
    </row>
    <row r="38" spans="3:8" ht="15.75" thickBot="1" x14ac:dyDescent="0.3">
      <c r="C38" s="19"/>
      <c r="D38" s="19"/>
      <c r="E38" s="19"/>
      <c r="F38" s="39"/>
      <c r="G38" s="20"/>
    </row>
    <row r="39" spans="3:8" ht="15.75" thickBot="1" x14ac:dyDescent="0.3">
      <c r="C39" s="21" t="s">
        <v>32</v>
      </c>
      <c r="D39" s="22"/>
      <c r="E39" s="23">
        <f>E30+E6</f>
        <v>10503.48</v>
      </c>
      <c r="F39" s="40">
        <v>1</v>
      </c>
      <c r="G39" s="46">
        <f>SUM(G30+G6)</f>
        <v>1.5914363636363635</v>
      </c>
      <c r="H39" s="48"/>
    </row>
    <row r="40" spans="3:8" x14ac:dyDescent="0.25">
      <c r="C40" s="19"/>
      <c r="D40" s="19"/>
      <c r="E40" s="19"/>
      <c r="F40" s="39">
        <v>0</v>
      </c>
      <c r="G40" s="24">
        <v>0</v>
      </c>
    </row>
    <row r="41" spans="3:8" x14ac:dyDescent="0.25">
      <c r="C41" s="5" t="s">
        <v>33</v>
      </c>
      <c r="D41" s="5"/>
      <c r="E41" s="5">
        <v>275</v>
      </c>
      <c r="F41" s="37">
        <f>E41/E5</f>
        <v>4.1666666666666664E-2</v>
      </c>
      <c r="G41" s="17">
        <f>E41/E5</f>
        <v>4.1666666666666664E-2</v>
      </c>
    </row>
    <row r="42" spans="3:8" x14ac:dyDescent="0.25">
      <c r="C42" s="5" t="s">
        <v>41</v>
      </c>
      <c r="D42" s="45">
        <v>0.04</v>
      </c>
      <c r="E42" s="12">
        <f>+E39*0.04</f>
        <v>420.13920000000002</v>
      </c>
      <c r="F42" s="37">
        <f>E42/E5</f>
        <v>6.3657454545454545E-2</v>
      </c>
      <c r="G42" s="17">
        <f>E42/E5</f>
        <v>6.3657454545454545E-2</v>
      </c>
    </row>
    <row r="43" spans="3:8" x14ac:dyDescent="0.25">
      <c r="C43" s="5" t="s">
        <v>34</v>
      </c>
      <c r="D43" s="5"/>
      <c r="E43" s="5"/>
      <c r="F43" s="35">
        <v>0</v>
      </c>
      <c r="G43" s="25">
        <v>0</v>
      </c>
    </row>
    <row r="44" spans="3:8" x14ac:dyDescent="0.25">
      <c r="C44" s="5" t="s">
        <v>35</v>
      </c>
      <c r="D44" s="5"/>
      <c r="E44" s="5"/>
      <c r="F44" s="35">
        <v>0</v>
      </c>
      <c r="G44" s="25">
        <v>0</v>
      </c>
    </row>
    <row r="45" spans="3:8" x14ac:dyDescent="0.25">
      <c r="C45" s="7" t="s">
        <v>36</v>
      </c>
      <c r="D45" s="7"/>
      <c r="E45" s="26">
        <f>E39+SUM(E41:E44)</f>
        <v>11198.619199999999</v>
      </c>
      <c r="F45" s="27">
        <v>1</v>
      </c>
      <c r="G45" s="47">
        <f>SUM(G39:G44)</f>
        <v>1.6967604848484847</v>
      </c>
    </row>
    <row r="46" spans="3:8" ht="15.75" thickBot="1" x14ac:dyDescent="0.3">
      <c r="C46" s="28" t="s">
        <v>37</v>
      </c>
      <c r="D46" s="28"/>
      <c r="E46" s="29"/>
      <c r="F46" s="41"/>
      <c r="G46" s="30"/>
    </row>
    <row r="47" spans="3:8" ht="15.75" thickBot="1" x14ac:dyDescent="0.3">
      <c r="C47" s="31" t="s">
        <v>38</v>
      </c>
      <c r="D47" s="22"/>
      <c r="E47" s="32">
        <f>G45+E46</f>
        <v>1.6967604848484847</v>
      </c>
      <c r="F47" s="42"/>
      <c r="G47" s="33"/>
    </row>
  </sheetData>
  <pageMargins left="0" right="0" top="0" bottom="0" header="0.31496062992125984" footer="0.31496062992125984"/>
  <pageSetup paperSize="9" scale="88" orientation="portrait" r:id="rId1"/>
  <headerFooter>
    <oddHeader>&amp;L&amp;"Aptos"&amp;8&amp;K0000FF [PRIVATE]&amp;1#_x000D_</oddHeader>
    <oddFooter>&amp;L_x000D_&amp;1#&amp;"Aptos"&amp;8&amp;K0000FF [PRIVATE]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EF5B-EE2C-49A1-9BAE-1E1EF294DF9C}">
  <sheetPr>
    <pageSetUpPr fitToPage="1"/>
  </sheetPr>
  <dimension ref="A1:K51"/>
  <sheetViews>
    <sheetView topLeftCell="A60" workbookViewId="0">
      <selection activeCell="E32" sqref="E32"/>
    </sheetView>
  </sheetViews>
  <sheetFormatPr baseColWidth="10" defaultRowHeight="15" x14ac:dyDescent="0.25"/>
  <cols>
    <col min="1" max="1" width="9.7109375" customWidth="1"/>
    <col min="3" max="3" width="43.140625" customWidth="1"/>
    <col min="4" max="4" width="11.140625" customWidth="1"/>
    <col min="5" max="5" width="11.7109375" customWidth="1"/>
    <col min="6" max="6" width="7.7109375" customWidth="1"/>
    <col min="7" max="7" width="13.140625" customWidth="1"/>
    <col min="9" max="9" width="31.28515625" customWidth="1"/>
    <col min="10" max="10" width="25.85546875" customWidth="1"/>
  </cols>
  <sheetData>
    <row r="1" spans="1:9" x14ac:dyDescent="0.25">
      <c r="A1" s="4"/>
      <c r="C1" s="1" t="s">
        <v>42</v>
      </c>
      <c r="D1" s="1"/>
      <c r="E1" s="44"/>
      <c r="F1" s="34"/>
      <c r="G1" s="3"/>
      <c r="I1" s="49"/>
    </row>
    <row r="2" spans="1:9" x14ac:dyDescent="0.25">
      <c r="C2" s="2"/>
      <c r="D2" s="2"/>
      <c r="E2" s="1" t="s">
        <v>0</v>
      </c>
      <c r="F2" s="34" t="s">
        <v>1</v>
      </c>
      <c r="G2" s="3" t="s">
        <v>2</v>
      </c>
    </row>
    <row r="3" spans="1:9" x14ac:dyDescent="0.25">
      <c r="C3" s="5" t="s">
        <v>3</v>
      </c>
      <c r="D3" s="5"/>
      <c r="E3" s="5"/>
      <c r="F3" s="35"/>
      <c r="G3" s="6"/>
    </row>
    <row r="4" spans="1:9" x14ac:dyDescent="0.25">
      <c r="C4" s="5" t="s">
        <v>4</v>
      </c>
      <c r="D4" s="5"/>
      <c r="E4" s="5"/>
      <c r="F4" s="35"/>
      <c r="G4" s="6"/>
    </row>
    <row r="5" spans="1:9" x14ac:dyDescent="0.25">
      <c r="C5" s="7" t="s">
        <v>5</v>
      </c>
      <c r="D5" s="7"/>
      <c r="E5" s="56">
        <f>'CALCULADORA COSTES'!B14*'CALCULADORA COSTES'!B15</f>
        <v>6600</v>
      </c>
      <c r="F5" s="36"/>
      <c r="G5" s="8"/>
    </row>
    <row r="6" spans="1:9" x14ac:dyDescent="0.25">
      <c r="C6" s="7" t="s">
        <v>6</v>
      </c>
      <c r="D6" s="7"/>
      <c r="E6" s="9">
        <f>SUM(E7:E29)</f>
        <v>7909</v>
      </c>
      <c r="F6" s="36">
        <f>E6/E$5</f>
        <v>1.1983333333333333</v>
      </c>
      <c r="G6" s="10">
        <f>E6/E$5</f>
        <v>1.1983333333333333</v>
      </c>
    </row>
    <row r="7" spans="1:9" x14ac:dyDescent="0.25">
      <c r="C7" s="5" t="s">
        <v>7</v>
      </c>
      <c r="D7" s="5"/>
      <c r="E7" s="5">
        <f>'CALCULADORA COSTES'!E4</f>
        <v>6200</v>
      </c>
      <c r="F7" s="36">
        <f t="shared" ref="F7:F29" si="0">E7/E$5</f>
        <v>0.93939393939393945</v>
      </c>
      <c r="G7" s="11">
        <f t="shared" ref="G7:G29" si="1">E7/E$5</f>
        <v>0.93939393939393945</v>
      </c>
    </row>
    <row r="8" spans="1:9" x14ac:dyDescent="0.25">
      <c r="C8" s="5" t="s">
        <v>8</v>
      </c>
      <c r="D8" s="5"/>
      <c r="E8" s="5">
        <v>300</v>
      </c>
      <c r="F8" s="36">
        <f>E8/E$5</f>
        <v>4.5454545454545456E-2</v>
      </c>
      <c r="G8" s="11">
        <f>E8/E$5</f>
        <v>4.5454545454545456E-2</v>
      </c>
    </row>
    <row r="9" spans="1:9" x14ac:dyDescent="0.25">
      <c r="C9" s="5" t="s">
        <v>9</v>
      </c>
      <c r="D9" s="5"/>
      <c r="E9" s="5">
        <v>18</v>
      </c>
      <c r="F9" s="36">
        <f t="shared" si="0"/>
        <v>2.7272727272727275E-3</v>
      </c>
      <c r="G9" s="11">
        <f t="shared" si="1"/>
        <v>2.7272727272727275E-3</v>
      </c>
    </row>
    <row r="10" spans="1:9" x14ac:dyDescent="0.25">
      <c r="C10" s="5" t="s">
        <v>10</v>
      </c>
      <c r="D10" s="5"/>
      <c r="E10" s="12">
        <v>348</v>
      </c>
      <c r="F10" s="36">
        <f t="shared" si="0"/>
        <v>5.2727272727272727E-2</v>
      </c>
      <c r="G10" s="11">
        <f t="shared" si="1"/>
        <v>5.2727272727272727E-2</v>
      </c>
    </row>
    <row r="11" spans="1:9" x14ac:dyDescent="0.25">
      <c r="C11" s="13" t="s">
        <v>11</v>
      </c>
      <c r="D11" s="13"/>
      <c r="E11" s="13">
        <v>100</v>
      </c>
      <c r="F11" s="36">
        <f t="shared" si="0"/>
        <v>1.5151515151515152E-2</v>
      </c>
      <c r="G11" s="14">
        <f t="shared" si="1"/>
        <v>1.5151515151515152E-2</v>
      </c>
    </row>
    <row r="12" spans="1:9" x14ac:dyDescent="0.25">
      <c r="C12" s="5" t="s">
        <v>12</v>
      </c>
      <c r="D12" s="5"/>
      <c r="E12" s="5">
        <v>50</v>
      </c>
      <c r="F12" s="36">
        <f t="shared" si="0"/>
        <v>7.575757575757576E-3</v>
      </c>
      <c r="G12" s="11">
        <f t="shared" si="1"/>
        <v>7.575757575757576E-3</v>
      </c>
    </row>
    <row r="13" spans="1:9" x14ac:dyDescent="0.25">
      <c r="C13" s="5" t="s">
        <v>13</v>
      </c>
      <c r="D13" s="5"/>
      <c r="E13" s="12">
        <v>100</v>
      </c>
      <c r="F13" s="36">
        <f t="shared" si="0"/>
        <v>1.5151515151515152E-2</v>
      </c>
      <c r="G13" s="11">
        <f t="shared" si="1"/>
        <v>1.5151515151515152E-2</v>
      </c>
    </row>
    <row r="14" spans="1:9" x14ac:dyDescent="0.25">
      <c r="C14" s="5" t="s">
        <v>14</v>
      </c>
      <c r="D14" s="5"/>
      <c r="E14" s="5">
        <f>'CALCULADORA COSTES'!B20</f>
        <v>450</v>
      </c>
      <c r="F14" s="36">
        <f t="shared" si="0"/>
        <v>6.8181818181818177E-2</v>
      </c>
      <c r="G14" s="11">
        <f t="shared" si="1"/>
        <v>6.8181818181818177E-2</v>
      </c>
    </row>
    <row r="15" spans="1:9" x14ac:dyDescent="0.25">
      <c r="C15" s="5" t="s">
        <v>15</v>
      </c>
      <c r="D15" s="5"/>
      <c r="E15" s="12">
        <v>25</v>
      </c>
      <c r="F15" s="36">
        <f t="shared" si="0"/>
        <v>3.787878787878788E-3</v>
      </c>
      <c r="G15" s="11">
        <f t="shared" si="1"/>
        <v>3.787878787878788E-3</v>
      </c>
    </row>
    <row r="16" spans="1:9" x14ac:dyDescent="0.25">
      <c r="C16" s="5" t="s">
        <v>16</v>
      </c>
      <c r="D16" s="5"/>
      <c r="E16" s="12">
        <v>18</v>
      </c>
      <c r="F16" s="36">
        <f t="shared" si="0"/>
        <v>2.7272727272727275E-3</v>
      </c>
      <c r="G16" s="11">
        <f t="shared" si="1"/>
        <v>2.7272727272727275E-3</v>
      </c>
    </row>
    <row r="17" spans="3:7" x14ac:dyDescent="0.25">
      <c r="C17" s="5" t="s">
        <v>17</v>
      </c>
      <c r="D17" s="5"/>
      <c r="E17" s="12">
        <v>150</v>
      </c>
      <c r="F17" s="36">
        <f t="shared" si="0"/>
        <v>2.2727272727272728E-2</v>
      </c>
      <c r="G17" s="11">
        <f t="shared" si="1"/>
        <v>2.2727272727272728E-2</v>
      </c>
    </row>
    <row r="18" spans="3:7" x14ac:dyDescent="0.25">
      <c r="C18" s="5" t="s">
        <v>18</v>
      </c>
      <c r="D18" s="5"/>
      <c r="E18" s="5">
        <v>50</v>
      </c>
      <c r="F18" s="36">
        <f t="shared" si="0"/>
        <v>7.575757575757576E-3</v>
      </c>
      <c r="G18" s="11">
        <f t="shared" si="1"/>
        <v>7.575757575757576E-3</v>
      </c>
    </row>
    <row r="19" spans="3:7" x14ac:dyDescent="0.25">
      <c r="C19" s="5" t="s">
        <v>19</v>
      </c>
      <c r="D19" s="5"/>
      <c r="E19" s="5">
        <v>85</v>
      </c>
      <c r="F19" s="36">
        <f t="shared" si="0"/>
        <v>1.2878787878787878E-2</v>
      </c>
      <c r="G19" s="11">
        <f t="shared" si="1"/>
        <v>1.2878787878787878E-2</v>
      </c>
    </row>
    <row r="20" spans="3:7" x14ac:dyDescent="0.25">
      <c r="C20" s="5" t="s">
        <v>20</v>
      </c>
      <c r="D20" s="5"/>
      <c r="E20" s="12">
        <v>15</v>
      </c>
      <c r="F20" s="36">
        <f t="shared" si="0"/>
        <v>2.2727272727272726E-3</v>
      </c>
      <c r="G20" s="11">
        <f t="shared" si="1"/>
        <v>2.2727272727272726E-3</v>
      </c>
    </row>
    <row r="21" spans="3:7" x14ac:dyDescent="0.25">
      <c r="C21" s="5" t="s">
        <v>21</v>
      </c>
      <c r="D21" s="5"/>
      <c r="E21" s="5"/>
      <c r="F21" s="36">
        <f t="shared" si="0"/>
        <v>0</v>
      </c>
      <c r="G21" s="11">
        <f t="shared" si="1"/>
        <v>0</v>
      </c>
    </row>
    <row r="22" spans="3:7" x14ac:dyDescent="0.25">
      <c r="C22" s="5" t="s">
        <v>22</v>
      </c>
      <c r="D22" s="5"/>
      <c r="E22" s="5"/>
      <c r="F22" s="36">
        <f t="shared" si="0"/>
        <v>0</v>
      </c>
      <c r="G22" s="11">
        <f t="shared" si="1"/>
        <v>0</v>
      </c>
    </row>
    <row r="23" spans="3:7" x14ac:dyDescent="0.25">
      <c r="C23" s="5" t="s">
        <v>23</v>
      </c>
      <c r="D23" s="5"/>
      <c r="E23" s="5"/>
      <c r="F23" s="36">
        <f t="shared" si="0"/>
        <v>0</v>
      </c>
      <c r="G23" s="11">
        <f t="shared" si="1"/>
        <v>0</v>
      </c>
    </row>
    <row r="24" spans="3:7" x14ac:dyDescent="0.25">
      <c r="C24" s="5" t="s">
        <v>24</v>
      </c>
      <c r="D24" s="5"/>
      <c r="E24" s="5"/>
      <c r="F24" s="36">
        <f t="shared" si="0"/>
        <v>0</v>
      </c>
      <c r="G24" s="11">
        <f t="shared" si="1"/>
        <v>0</v>
      </c>
    </row>
    <row r="25" spans="3:7" x14ac:dyDescent="0.25">
      <c r="C25" s="5" t="s">
        <v>25</v>
      </c>
      <c r="D25" s="5"/>
      <c r="E25" s="5"/>
      <c r="F25" s="36">
        <f t="shared" si="0"/>
        <v>0</v>
      </c>
      <c r="G25" s="11">
        <f t="shared" si="1"/>
        <v>0</v>
      </c>
    </row>
    <row r="26" spans="3:7" x14ac:dyDescent="0.25">
      <c r="C26" s="5" t="s">
        <v>26</v>
      </c>
      <c r="D26" s="5"/>
      <c r="E26" s="5"/>
      <c r="F26" s="36">
        <f t="shared" si="0"/>
        <v>0</v>
      </c>
      <c r="G26" s="11">
        <f t="shared" si="1"/>
        <v>0</v>
      </c>
    </row>
    <row r="27" spans="3:7" x14ac:dyDescent="0.25">
      <c r="C27" s="5" t="s">
        <v>27</v>
      </c>
      <c r="D27" s="5"/>
      <c r="E27" s="5"/>
      <c r="F27" s="36">
        <f t="shared" si="0"/>
        <v>0</v>
      </c>
      <c r="G27" s="11">
        <f t="shared" si="1"/>
        <v>0</v>
      </c>
    </row>
    <row r="28" spans="3:7" x14ac:dyDescent="0.25">
      <c r="C28" s="13" t="s">
        <v>47</v>
      </c>
      <c r="D28" s="13"/>
      <c r="E28" s="13">
        <v>0</v>
      </c>
      <c r="F28" s="36">
        <f t="shared" si="0"/>
        <v>0</v>
      </c>
      <c r="G28" s="15">
        <f t="shared" si="1"/>
        <v>0</v>
      </c>
    </row>
    <row r="29" spans="3:7" x14ac:dyDescent="0.25">
      <c r="C29" s="5" t="s">
        <v>28</v>
      </c>
      <c r="D29" s="5"/>
      <c r="E29" s="5"/>
      <c r="F29" s="36">
        <f t="shared" si="0"/>
        <v>0</v>
      </c>
      <c r="G29" s="11">
        <f t="shared" si="1"/>
        <v>0</v>
      </c>
    </row>
    <row r="30" spans="3:7" x14ac:dyDescent="0.25">
      <c r="C30" s="7" t="s">
        <v>29</v>
      </c>
      <c r="D30" s="7"/>
      <c r="E30" s="9">
        <f>SUM(E31:E36)</f>
        <v>7590.4</v>
      </c>
      <c r="F30" s="38">
        <f>E30/E5</f>
        <v>1.150060606060606</v>
      </c>
      <c r="G30" s="16">
        <f>SUM(G31:G36)</f>
        <v>1.150060606060606</v>
      </c>
    </row>
    <row r="31" spans="3:7" x14ac:dyDescent="0.25">
      <c r="C31" s="5" t="s">
        <v>30</v>
      </c>
      <c r="D31" s="5">
        <f>'CALCULADORA COSTES'!B17*'CALCULADORA COSTES'!B16</f>
        <v>3048</v>
      </c>
      <c r="E31" s="5">
        <f>D31*('CALCULADORA COSTES'!E26+1)</f>
        <v>3200.4</v>
      </c>
      <c r="F31" s="37">
        <f>E31/E5</f>
        <v>0.4849090909090909</v>
      </c>
      <c r="G31" s="17">
        <f>E31/E5</f>
        <v>0.4849090909090909</v>
      </c>
    </row>
    <row r="32" spans="3:7" x14ac:dyDescent="0.25">
      <c r="C32" s="13" t="s">
        <v>300</v>
      </c>
      <c r="D32" s="13">
        <f>'CALCULADORA COSTES'!B4*'CALCULADORA COSTES'!C4</f>
        <v>0.63</v>
      </c>
      <c r="E32" s="18">
        <f>+D32*E5</f>
        <v>4158</v>
      </c>
      <c r="F32" s="37">
        <f>E32/E5</f>
        <v>0.63</v>
      </c>
      <c r="G32" s="17">
        <f>E32/E5</f>
        <v>0.63</v>
      </c>
    </row>
    <row r="33" spans="3:8" x14ac:dyDescent="0.25">
      <c r="C33" s="13" t="s">
        <v>46</v>
      </c>
      <c r="D33" s="43"/>
      <c r="E33" s="13">
        <f>'CALCULADORA COSTES'!E24*'CALCULADORA COSTES'!E25</f>
        <v>0</v>
      </c>
      <c r="F33" s="37">
        <f>E33/E5</f>
        <v>0</v>
      </c>
      <c r="G33" s="17">
        <f>E33/E5</f>
        <v>0</v>
      </c>
    </row>
    <row r="34" spans="3:8" x14ac:dyDescent="0.25">
      <c r="C34" s="5" t="s">
        <v>39</v>
      </c>
      <c r="D34" s="5">
        <v>0.01</v>
      </c>
      <c r="E34" s="12">
        <f>+D34*E5</f>
        <v>66</v>
      </c>
      <c r="F34" s="37">
        <f>E34/E5</f>
        <v>0.01</v>
      </c>
      <c r="G34" s="17">
        <f>E34/E5</f>
        <v>0.01</v>
      </c>
    </row>
    <row r="35" spans="3:8" x14ac:dyDescent="0.25">
      <c r="C35" s="5" t="s">
        <v>40</v>
      </c>
      <c r="D35" s="5">
        <v>0.01</v>
      </c>
      <c r="E35" s="12">
        <f>+D35*E5</f>
        <v>66</v>
      </c>
      <c r="F35" s="37">
        <f>E35/E5</f>
        <v>0.01</v>
      </c>
      <c r="G35" s="17">
        <f>E35/E5</f>
        <v>0.01</v>
      </c>
    </row>
    <row r="36" spans="3:8" x14ac:dyDescent="0.25">
      <c r="C36" s="5" t="s">
        <v>31</v>
      </c>
      <c r="D36" s="5"/>
      <c r="E36" s="12">
        <v>100</v>
      </c>
      <c r="F36" s="37">
        <f>E36/E5</f>
        <v>1.5151515151515152E-2</v>
      </c>
      <c r="G36" s="17">
        <f>E36/E5</f>
        <v>1.5151515151515152E-2</v>
      </c>
    </row>
    <row r="37" spans="3:8" x14ac:dyDescent="0.25">
      <c r="C37" s="19"/>
      <c r="D37" s="19"/>
      <c r="E37" s="19"/>
      <c r="F37" s="39"/>
      <c r="G37" s="20"/>
    </row>
    <row r="38" spans="3:8" ht="15.75" thickBot="1" x14ac:dyDescent="0.3">
      <c r="C38" s="19"/>
      <c r="D38" s="19"/>
      <c r="E38" s="19"/>
      <c r="F38" s="39"/>
      <c r="G38" s="20"/>
    </row>
    <row r="39" spans="3:8" ht="15.75" thickBot="1" x14ac:dyDescent="0.3">
      <c r="C39" s="21" t="s">
        <v>32</v>
      </c>
      <c r="D39" s="22"/>
      <c r="E39" s="23">
        <f>E30+E6</f>
        <v>15499.4</v>
      </c>
      <c r="F39" s="40">
        <v>1</v>
      </c>
      <c r="G39" s="46">
        <f>SUM(G30+G6)</f>
        <v>2.3483939393939393</v>
      </c>
      <c r="H39" s="48"/>
    </row>
    <row r="40" spans="3:8" x14ac:dyDescent="0.25">
      <c r="C40" s="19"/>
      <c r="D40" s="19"/>
      <c r="E40" s="19"/>
      <c r="F40" s="39">
        <v>0</v>
      </c>
      <c r="G40" s="24">
        <v>0</v>
      </c>
    </row>
    <row r="41" spans="3:8" x14ac:dyDescent="0.25">
      <c r="C41" s="5" t="s">
        <v>33</v>
      </c>
      <c r="D41" s="5"/>
      <c r="E41" s="5">
        <v>275</v>
      </c>
      <c r="F41" s="37">
        <f>E41/E5</f>
        <v>4.1666666666666664E-2</v>
      </c>
      <c r="G41" s="17">
        <f>E41/E5</f>
        <v>4.1666666666666664E-2</v>
      </c>
    </row>
    <row r="42" spans="3:8" x14ac:dyDescent="0.25">
      <c r="C42" s="5" t="s">
        <v>41</v>
      </c>
      <c r="D42" s="45">
        <v>0.04</v>
      </c>
      <c r="E42" s="12">
        <f>+E39*0.04</f>
        <v>619.976</v>
      </c>
      <c r="F42" s="37">
        <f>E42/E5</f>
        <v>9.3935757575757575E-2</v>
      </c>
      <c r="G42" s="17">
        <f>E42/E5</f>
        <v>9.3935757575757575E-2</v>
      </c>
    </row>
    <row r="43" spans="3:8" x14ac:dyDescent="0.25">
      <c r="C43" s="5" t="s">
        <v>34</v>
      </c>
      <c r="D43" s="5"/>
      <c r="E43" s="5"/>
      <c r="F43" s="35">
        <v>0</v>
      </c>
      <c r="G43" s="25">
        <v>0</v>
      </c>
    </row>
    <row r="44" spans="3:8" x14ac:dyDescent="0.25">
      <c r="C44" s="5" t="s">
        <v>35</v>
      </c>
      <c r="D44" s="5"/>
      <c r="E44" s="5"/>
      <c r="F44" s="35">
        <v>0</v>
      </c>
      <c r="G44" s="25">
        <v>0</v>
      </c>
    </row>
    <row r="45" spans="3:8" x14ac:dyDescent="0.25">
      <c r="C45" s="7" t="s">
        <v>36</v>
      </c>
      <c r="D45" s="7"/>
      <c r="E45" s="26">
        <f>E39+SUM(E41:E44)</f>
        <v>16394.376</v>
      </c>
      <c r="F45" s="27">
        <v>1</v>
      </c>
      <c r="G45" s="47">
        <f>SUM(G39:G44)</f>
        <v>2.4839963636363636</v>
      </c>
    </row>
    <row r="46" spans="3:8" ht="15.75" thickBot="1" x14ac:dyDescent="0.3">
      <c r="C46" s="28" t="s">
        <v>37</v>
      </c>
      <c r="D46" s="28"/>
      <c r="E46" s="29"/>
      <c r="F46" s="41"/>
      <c r="G46" s="30"/>
    </row>
    <row r="47" spans="3:8" ht="15.75" thickBot="1" x14ac:dyDescent="0.3">
      <c r="C47" s="31" t="s">
        <v>38</v>
      </c>
      <c r="D47" s="22"/>
      <c r="E47" s="32">
        <f>G45+E46</f>
        <v>2.4839963636363636</v>
      </c>
      <c r="F47" s="42"/>
      <c r="G47" s="33"/>
    </row>
    <row r="49" spans="5:11" x14ac:dyDescent="0.25">
      <c r="E49" s="52"/>
      <c r="I49" s="2"/>
      <c r="J49" s="2"/>
      <c r="K49" s="53"/>
    </row>
    <row r="50" spans="5:11" x14ac:dyDescent="0.25">
      <c r="I50" s="51"/>
      <c r="J50" s="2"/>
    </row>
    <row r="51" spans="5:11" x14ac:dyDescent="0.25">
      <c r="I51" s="2"/>
      <c r="J51" s="2"/>
    </row>
  </sheetData>
  <pageMargins left="0" right="0" top="0" bottom="0" header="0.31496062992125984" footer="0.31496062992125984"/>
  <pageSetup paperSize="9" scale="88" orientation="portrait" r:id="rId1"/>
  <headerFooter>
    <oddHeader>&amp;L&amp;"Aptos"&amp;8&amp;K0000FF [PRIVATE]&amp;1#_x000D_</oddHeader>
    <oddFooter>&amp;L_x000D_&amp;1#&amp;"Aptos"&amp;8&amp;K0000FF [PRIVATE]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7FB1-943D-45F2-BA40-38C4EBBCA76C}">
  <sheetPr>
    <pageSetUpPr fitToPage="1"/>
  </sheetPr>
  <dimension ref="A1:J48"/>
  <sheetViews>
    <sheetView workbookViewId="0">
      <selection activeCell="K32" sqref="K32:M44"/>
    </sheetView>
  </sheetViews>
  <sheetFormatPr baseColWidth="10" defaultRowHeight="15" x14ac:dyDescent="0.25"/>
  <cols>
    <col min="1" max="1" width="9.7109375" customWidth="1"/>
    <col min="3" max="3" width="43.140625" customWidth="1"/>
    <col min="4" max="4" width="11.140625" customWidth="1"/>
    <col min="5" max="5" width="11.7109375" customWidth="1"/>
    <col min="6" max="6" width="11.85546875" customWidth="1"/>
    <col min="7" max="7" width="13.140625" customWidth="1"/>
    <col min="9" max="9" width="38.140625" customWidth="1"/>
    <col min="10" max="10" width="26.140625" customWidth="1"/>
  </cols>
  <sheetData>
    <row r="1" spans="1:10" x14ac:dyDescent="0.25">
      <c r="A1" s="4"/>
      <c r="C1" s="1"/>
      <c r="D1" s="1"/>
      <c r="E1" s="44"/>
      <c r="F1" s="34"/>
      <c r="G1" s="3"/>
    </row>
    <row r="2" spans="1:10" x14ac:dyDescent="0.25">
      <c r="C2" s="2"/>
      <c r="D2" s="2"/>
      <c r="E2" s="1" t="s">
        <v>0</v>
      </c>
      <c r="F2" s="34" t="s">
        <v>1</v>
      </c>
      <c r="G2" s="3" t="s">
        <v>2</v>
      </c>
      <c r="I2" s="49"/>
    </row>
    <row r="3" spans="1:10" x14ac:dyDescent="0.25">
      <c r="C3" s="5" t="s">
        <v>3</v>
      </c>
      <c r="D3" s="5"/>
      <c r="E3" s="5"/>
      <c r="F3" s="35"/>
      <c r="G3" s="6"/>
    </row>
    <row r="4" spans="1:10" x14ac:dyDescent="0.25">
      <c r="C4" s="5" t="s">
        <v>4</v>
      </c>
      <c r="D4" s="5"/>
      <c r="E4" s="5"/>
      <c r="F4" s="35"/>
      <c r="G4" s="6"/>
    </row>
    <row r="5" spans="1:10" x14ac:dyDescent="0.25">
      <c r="C5" s="7" t="s">
        <v>5</v>
      </c>
      <c r="D5" s="7"/>
      <c r="E5" s="7">
        <f>'CALCULADORA COSTES'!B14*'CALCULADORA COSTES'!B15</f>
        <v>6600</v>
      </c>
      <c r="F5" s="36"/>
      <c r="G5" s="8"/>
    </row>
    <row r="6" spans="1:10" x14ac:dyDescent="0.25">
      <c r="C6" s="7" t="s">
        <v>6</v>
      </c>
      <c r="D6" s="7"/>
      <c r="E6" s="9">
        <f>SUM(E7:E29)</f>
        <v>3538</v>
      </c>
      <c r="F6" s="36">
        <f>E6/E$5</f>
        <v>0.53606060606060602</v>
      </c>
      <c r="G6" s="10">
        <f>E6/E$5</f>
        <v>0.53606060606060602</v>
      </c>
    </row>
    <row r="7" spans="1:10" x14ac:dyDescent="0.25">
      <c r="C7" s="5" t="s">
        <v>7</v>
      </c>
      <c r="D7" s="5"/>
      <c r="E7" s="5">
        <f>'CALCULADORA COSTES'!E2</f>
        <v>2000</v>
      </c>
      <c r="F7" s="36">
        <f t="shared" ref="F7:F29" si="0">E7/E$5</f>
        <v>0.30303030303030304</v>
      </c>
      <c r="G7" s="11">
        <f t="shared" ref="G7:G29" si="1">E7/E$5</f>
        <v>0.30303030303030304</v>
      </c>
    </row>
    <row r="8" spans="1:10" x14ac:dyDescent="0.25">
      <c r="C8" s="5" t="s">
        <v>8</v>
      </c>
      <c r="D8" s="5"/>
      <c r="E8" s="5">
        <v>300</v>
      </c>
      <c r="F8" s="36">
        <f>E8/E$5</f>
        <v>4.5454545454545456E-2</v>
      </c>
      <c r="G8" s="11">
        <f>E8/E$5</f>
        <v>4.5454545454545456E-2</v>
      </c>
      <c r="I8" s="2"/>
      <c r="J8" s="2"/>
    </row>
    <row r="9" spans="1:10" x14ac:dyDescent="0.25">
      <c r="C9" s="5" t="s">
        <v>9</v>
      </c>
      <c r="D9" s="5"/>
      <c r="E9" s="5">
        <v>18</v>
      </c>
      <c r="F9" s="36">
        <f t="shared" si="0"/>
        <v>2.7272727272727275E-3</v>
      </c>
      <c r="G9" s="11">
        <f t="shared" si="1"/>
        <v>2.7272727272727275E-3</v>
      </c>
      <c r="I9" s="50"/>
      <c r="J9" s="2"/>
    </row>
    <row r="10" spans="1:10" x14ac:dyDescent="0.25">
      <c r="C10" s="5" t="s">
        <v>10</v>
      </c>
      <c r="D10" s="5"/>
      <c r="E10" s="12">
        <v>162</v>
      </c>
      <c r="F10" s="36">
        <f t="shared" si="0"/>
        <v>2.4545454545454544E-2</v>
      </c>
      <c r="G10" s="11">
        <f t="shared" si="1"/>
        <v>2.4545454545454544E-2</v>
      </c>
      <c r="I10" s="2"/>
      <c r="J10" s="2"/>
    </row>
    <row r="11" spans="1:10" x14ac:dyDescent="0.25">
      <c r="C11" s="13" t="s">
        <v>11</v>
      </c>
      <c r="D11" s="13"/>
      <c r="E11" s="13">
        <v>100</v>
      </c>
      <c r="F11" s="36">
        <f t="shared" si="0"/>
        <v>1.5151515151515152E-2</v>
      </c>
      <c r="G11" s="14">
        <f t="shared" si="1"/>
        <v>1.5151515151515152E-2</v>
      </c>
    </row>
    <row r="12" spans="1:10" x14ac:dyDescent="0.25">
      <c r="C12" s="5" t="s">
        <v>12</v>
      </c>
      <c r="D12" s="5"/>
      <c r="E12" s="5">
        <v>50</v>
      </c>
      <c r="F12" s="36">
        <f t="shared" si="0"/>
        <v>7.575757575757576E-3</v>
      </c>
      <c r="G12" s="11">
        <f t="shared" si="1"/>
        <v>7.575757575757576E-3</v>
      </c>
    </row>
    <row r="13" spans="1:10" x14ac:dyDescent="0.25">
      <c r="C13" s="5" t="s">
        <v>13</v>
      </c>
      <c r="D13" s="5"/>
      <c r="E13" s="12">
        <v>100</v>
      </c>
      <c r="F13" s="36">
        <f t="shared" si="0"/>
        <v>1.5151515151515152E-2</v>
      </c>
      <c r="G13" s="11">
        <f t="shared" si="1"/>
        <v>1.5151515151515152E-2</v>
      </c>
    </row>
    <row r="14" spans="1:10" x14ac:dyDescent="0.25">
      <c r="C14" s="5" t="s">
        <v>14</v>
      </c>
      <c r="D14" s="5"/>
      <c r="E14" s="5">
        <f>'CALCULADORA COSTES'!B20</f>
        <v>450</v>
      </c>
      <c r="F14" s="36">
        <f t="shared" si="0"/>
        <v>6.8181818181818177E-2</v>
      </c>
      <c r="G14" s="11">
        <f t="shared" si="1"/>
        <v>6.8181818181818177E-2</v>
      </c>
    </row>
    <row r="15" spans="1:10" x14ac:dyDescent="0.25">
      <c r="C15" s="5" t="s">
        <v>15</v>
      </c>
      <c r="D15" s="5"/>
      <c r="E15" s="12">
        <v>25</v>
      </c>
      <c r="F15" s="36">
        <f t="shared" si="0"/>
        <v>3.787878787878788E-3</v>
      </c>
      <c r="G15" s="11">
        <f t="shared" si="1"/>
        <v>3.787878787878788E-3</v>
      </c>
    </row>
    <row r="16" spans="1:10" x14ac:dyDescent="0.25">
      <c r="C16" s="5" t="s">
        <v>16</v>
      </c>
      <c r="D16" s="5"/>
      <c r="E16" s="12">
        <v>18</v>
      </c>
      <c r="F16" s="36">
        <f t="shared" si="0"/>
        <v>2.7272727272727275E-3</v>
      </c>
      <c r="G16" s="11">
        <f t="shared" si="1"/>
        <v>2.7272727272727275E-3</v>
      </c>
    </row>
    <row r="17" spans="3:7" x14ac:dyDescent="0.25">
      <c r="C17" s="5" t="s">
        <v>17</v>
      </c>
      <c r="D17" s="5"/>
      <c r="E17" s="12">
        <v>100</v>
      </c>
      <c r="F17" s="36">
        <f t="shared" si="0"/>
        <v>1.5151515151515152E-2</v>
      </c>
      <c r="G17" s="11">
        <f t="shared" si="1"/>
        <v>1.5151515151515152E-2</v>
      </c>
    </row>
    <row r="18" spans="3:7" x14ac:dyDescent="0.25">
      <c r="C18" s="5" t="s">
        <v>18</v>
      </c>
      <c r="D18" s="5"/>
      <c r="E18" s="5">
        <v>50</v>
      </c>
      <c r="F18" s="36">
        <f t="shared" si="0"/>
        <v>7.575757575757576E-3</v>
      </c>
      <c r="G18" s="11">
        <f t="shared" si="1"/>
        <v>7.575757575757576E-3</v>
      </c>
    </row>
    <row r="19" spans="3:7" x14ac:dyDescent="0.25">
      <c r="C19" s="5" t="s">
        <v>19</v>
      </c>
      <c r="D19" s="5"/>
      <c r="E19" s="5">
        <v>150</v>
      </c>
      <c r="F19" s="36">
        <f t="shared" si="0"/>
        <v>2.2727272727272728E-2</v>
      </c>
      <c r="G19" s="11">
        <f t="shared" si="1"/>
        <v>2.2727272727272728E-2</v>
      </c>
    </row>
    <row r="20" spans="3:7" x14ac:dyDescent="0.25">
      <c r="C20" s="5" t="s">
        <v>20</v>
      </c>
      <c r="D20" s="5"/>
      <c r="E20" s="12">
        <v>15</v>
      </c>
      <c r="F20" s="36">
        <f t="shared" si="0"/>
        <v>2.2727272727272726E-3</v>
      </c>
      <c r="G20" s="11">
        <f t="shared" si="1"/>
        <v>2.2727272727272726E-3</v>
      </c>
    </row>
    <row r="21" spans="3:7" x14ac:dyDescent="0.25">
      <c r="C21" s="5" t="s">
        <v>21</v>
      </c>
      <c r="D21" s="5"/>
      <c r="E21" s="5"/>
      <c r="F21" s="36">
        <f t="shared" si="0"/>
        <v>0</v>
      </c>
      <c r="G21" s="11">
        <f t="shared" si="1"/>
        <v>0</v>
      </c>
    </row>
    <row r="22" spans="3:7" x14ac:dyDescent="0.25">
      <c r="C22" s="5" t="s">
        <v>22</v>
      </c>
      <c r="D22" s="5"/>
      <c r="E22" s="5"/>
      <c r="F22" s="36">
        <f t="shared" si="0"/>
        <v>0</v>
      </c>
      <c r="G22" s="11">
        <f t="shared" si="1"/>
        <v>0</v>
      </c>
    </row>
    <row r="23" spans="3:7" x14ac:dyDescent="0.25">
      <c r="C23" s="5" t="s">
        <v>23</v>
      </c>
      <c r="D23" s="5"/>
      <c r="E23" s="5"/>
      <c r="F23" s="36">
        <f t="shared" si="0"/>
        <v>0</v>
      </c>
      <c r="G23" s="11">
        <f t="shared" si="1"/>
        <v>0</v>
      </c>
    </row>
    <row r="24" spans="3:7" x14ac:dyDescent="0.25">
      <c r="C24" s="5" t="s">
        <v>24</v>
      </c>
      <c r="D24" s="5"/>
      <c r="E24" s="5"/>
      <c r="F24" s="36">
        <f t="shared" si="0"/>
        <v>0</v>
      </c>
      <c r="G24" s="11">
        <f t="shared" si="1"/>
        <v>0</v>
      </c>
    </row>
    <row r="25" spans="3:7" x14ac:dyDescent="0.25">
      <c r="C25" s="5" t="s">
        <v>25</v>
      </c>
      <c r="D25" s="5"/>
      <c r="E25" s="5"/>
      <c r="F25" s="36">
        <f t="shared" si="0"/>
        <v>0</v>
      </c>
      <c r="G25" s="11">
        <f t="shared" si="1"/>
        <v>0</v>
      </c>
    </row>
    <row r="26" spans="3:7" x14ac:dyDescent="0.25">
      <c r="C26" s="5" t="s">
        <v>26</v>
      </c>
      <c r="D26" s="5"/>
      <c r="E26" s="5"/>
      <c r="F26" s="36">
        <f t="shared" si="0"/>
        <v>0</v>
      </c>
      <c r="G26" s="11">
        <f t="shared" si="1"/>
        <v>0</v>
      </c>
    </row>
    <row r="27" spans="3:7" x14ac:dyDescent="0.25">
      <c r="C27" s="5" t="s">
        <v>27</v>
      </c>
      <c r="D27" s="5"/>
      <c r="E27" s="5"/>
      <c r="F27" s="36">
        <f t="shared" si="0"/>
        <v>0</v>
      </c>
      <c r="G27" s="11">
        <f t="shared" si="1"/>
        <v>0</v>
      </c>
    </row>
    <row r="28" spans="3:7" x14ac:dyDescent="0.25">
      <c r="C28" s="13" t="s">
        <v>45</v>
      </c>
      <c r="D28" s="13"/>
      <c r="E28" s="13"/>
      <c r="F28" s="36">
        <f t="shared" si="0"/>
        <v>0</v>
      </c>
      <c r="G28" s="15">
        <f t="shared" si="1"/>
        <v>0</v>
      </c>
    </row>
    <row r="29" spans="3:7" x14ac:dyDescent="0.25">
      <c r="C29" s="5" t="s">
        <v>28</v>
      </c>
      <c r="D29" s="5"/>
      <c r="E29" s="5"/>
      <c r="F29" s="36">
        <f t="shared" si="0"/>
        <v>0</v>
      </c>
      <c r="G29" s="11">
        <f t="shared" si="1"/>
        <v>0</v>
      </c>
    </row>
    <row r="30" spans="3:7" x14ac:dyDescent="0.25">
      <c r="C30" s="7" t="s">
        <v>29</v>
      </c>
      <c r="D30" s="7"/>
      <c r="E30" s="9">
        <f>SUM(E31:E37)</f>
        <v>5777.44</v>
      </c>
      <c r="F30" s="38">
        <f>E30/E5</f>
        <v>0.87536969696969691</v>
      </c>
      <c r="G30" s="16">
        <f>SUM(G31:G37)</f>
        <v>0.87536969696969691</v>
      </c>
    </row>
    <row r="31" spans="3:7" x14ac:dyDescent="0.25">
      <c r="C31" s="5" t="s">
        <v>30</v>
      </c>
      <c r="D31" s="5">
        <f>'CALCULADORA COSTES'!B17*'CALCULADORA COSTES'!B16</f>
        <v>3048</v>
      </c>
      <c r="E31" s="5">
        <f>D31</f>
        <v>3048</v>
      </c>
      <c r="F31" s="37">
        <f>E31/E5</f>
        <v>0.46181818181818179</v>
      </c>
      <c r="G31" s="17">
        <f>E31/E5</f>
        <v>0.46181818181818179</v>
      </c>
    </row>
    <row r="32" spans="3:7" x14ac:dyDescent="0.25">
      <c r="C32" s="5"/>
      <c r="D32" s="5"/>
      <c r="E32" s="5"/>
      <c r="F32" s="37">
        <f>E32/E5</f>
        <v>0</v>
      </c>
      <c r="G32" s="17">
        <f>E32/E5</f>
        <v>0</v>
      </c>
    </row>
    <row r="33" spans="3:7" x14ac:dyDescent="0.25">
      <c r="C33" s="13" t="s">
        <v>198</v>
      </c>
      <c r="D33" s="167">
        <f>'CALCULADORA COSTES'!D7</f>
        <v>0.37800000000000006</v>
      </c>
      <c r="E33" s="18">
        <f>+D33*E5</f>
        <v>2494.8000000000002</v>
      </c>
      <c r="F33" s="37">
        <f>E33/E5</f>
        <v>0.378</v>
      </c>
      <c r="G33" s="17">
        <f>E33/E5</f>
        <v>0.378</v>
      </c>
    </row>
    <row r="34" spans="3:7" x14ac:dyDescent="0.25">
      <c r="C34" s="13" t="s">
        <v>46</v>
      </c>
      <c r="D34" s="43"/>
      <c r="E34" s="13">
        <f>'CALCULADORA COSTES'!E24*'CALCULADORA COSTES'!E25</f>
        <v>0</v>
      </c>
      <c r="F34" s="37">
        <f>E34/E5</f>
        <v>0</v>
      </c>
      <c r="G34" s="17">
        <f>E34/E5</f>
        <v>0</v>
      </c>
    </row>
    <row r="35" spans="3:7" x14ac:dyDescent="0.25">
      <c r="C35" s="5" t="s">
        <v>39</v>
      </c>
      <c r="D35" s="5">
        <v>1.0200000000000001E-2</v>
      </c>
      <c r="E35" s="12">
        <f>+D35*E5</f>
        <v>67.320000000000007</v>
      </c>
      <c r="F35" s="37">
        <f>E35/E5</f>
        <v>1.0200000000000001E-2</v>
      </c>
      <c r="G35" s="17">
        <f>E35/E5</f>
        <v>1.0200000000000001E-2</v>
      </c>
    </row>
    <row r="36" spans="3:7" x14ac:dyDescent="0.25">
      <c r="C36" s="5" t="s">
        <v>40</v>
      </c>
      <c r="D36" s="5">
        <v>1.0200000000000001E-2</v>
      </c>
      <c r="E36" s="12">
        <f>+D36*E5</f>
        <v>67.320000000000007</v>
      </c>
      <c r="F36" s="37">
        <f>E36/E5</f>
        <v>1.0200000000000001E-2</v>
      </c>
      <c r="G36" s="17">
        <f>E36/E5</f>
        <v>1.0200000000000001E-2</v>
      </c>
    </row>
    <row r="37" spans="3:7" x14ac:dyDescent="0.25">
      <c r="C37" s="5" t="s">
        <v>31</v>
      </c>
      <c r="D37" s="5"/>
      <c r="E37" s="12">
        <v>100</v>
      </c>
      <c r="F37" s="37">
        <f>E37/E5</f>
        <v>1.5151515151515152E-2</v>
      </c>
      <c r="G37" s="17">
        <f>E37/E5</f>
        <v>1.5151515151515152E-2</v>
      </c>
    </row>
    <row r="38" spans="3:7" x14ac:dyDescent="0.25">
      <c r="C38" s="19"/>
      <c r="D38" s="19"/>
      <c r="E38" s="19"/>
      <c r="F38" s="39"/>
      <c r="G38" s="20"/>
    </row>
    <row r="39" spans="3:7" ht="15.75" thickBot="1" x14ac:dyDescent="0.3">
      <c r="C39" s="19"/>
      <c r="D39" s="19"/>
      <c r="E39" s="19"/>
      <c r="F39" s="39"/>
      <c r="G39" s="20"/>
    </row>
    <row r="40" spans="3:7" ht="15.75" thickBot="1" x14ac:dyDescent="0.3">
      <c r="C40" s="21" t="s">
        <v>32</v>
      </c>
      <c r="D40" s="22"/>
      <c r="E40" s="23">
        <f>E30+E6</f>
        <v>9315.4399999999987</v>
      </c>
      <c r="F40" s="40">
        <v>1</v>
      </c>
      <c r="G40" s="46">
        <f>SUM(G30+G6)</f>
        <v>1.4114303030303028</v>
      </c>
    </row>
    <row r="41" spans="3:7" x14ac:dyDescent="0.25">
      <c r="C41" s="19"/>
      <c r="D41" s="19"/>
      <c r="E41" s="19"/>
      <c r="F41" s="39">
        <v>0</v>
      </c>
      <c r="G41" s="24">
        <v>0</v>
      </c>
    </row>
    <row r="42" spans="3:7" x14ac:dyDescent="0.25">
      <c r="C42" s="5" t="s">
        <v>33</v>
      </c>
      <c r="D42" s="5"/>
      <c r="E42" s="5">
        <v>275</v>
      </c>
      <c r="F42" s="37">
        <f>E42/E5</f>
        <v>4.1666666666666664E-2</v>
      </c>
      <c r="G42" s="17">
        <f>E42/E5</f>
        <v>4.1666666666666664E-2</v>
      </c>
    </row>
    <row r="43" spans="3:7" x14ac:dyDescent="0.25">
      <c r="C43" s="5" t="s">
        <v>41</v>
      </c>
      <c r="D43" s="45">
        <v>0.04</v>
      </c>
      <c r="E43" s="12">
        <f>+E40*0.04</f>
        <v>372.61759999999998</v>
      </c>
      <c r="F43" s="37">
        <f>E43/E5</f>
        <v>5.6457212121212116E-2</v>
      </c>
      <c r="G43" s="17">
        <f>E43/E5</f>
        <v>5.6457212121212116E-2</v>
      </c>
    </row>
    <row r="44" spans="3:7" x14ac:dyDescent="0.25">
      <c r="C44" s="5" t="s">
        <v>34</v>
      </c>
      <c r="D44" s="5"/>
      <c r="E44" s="5"/>
      <c r="F44" s="35">
        <v>0</v>
      </c>
      <c r="G44" s="25">
        <v>0</v>
      </c>
    </row>
    <row r="45" spans="3:7" x14ac:dyDescent="0.25">
      <c r="C45" s="5" t="s">
        <v>35</v>
      </c>
      <c r="D45" s="5"/>
      <c r="E45" s="5"/>
      <c r="F45" s="35">
        <v>0</v>
      </c>
      <c r="G45" s="25">
        <v>0</v>
      </c>
    </row>
    <row r="46" spans="3:7" x14ac:dyDescent="0.25">
      <c r="C46" s="7" t="s">
        <v>36</v>
      </c>
      <c r="D46" s="7"/>
      <c r="E46" s="26">
        <f>E40+SUM(E42:E45)</f>
        <v>9963.0575999999983</v>
      </c>
      <c r="F46" s="27">
        <v>1</v>
      </c>
      <c r="G46" s="47">
        <f>SUM(G40:G45)</f>
        <v>1.5095541818181817</v>
      </c>
    </row>
    <row r="47" spans="3:7" ht="15.75" thickBot="1" x14ac:dyDescent="0.3">
      <c r="C47" s="28" t="s">
        <v>37</v>
      </c>
      <c r="D47" s="28"/>
      <c r="E47" s="29"/>
      <c r="F47" s="41"/>
      <c r="G47" s="30"/>
    </row>
    <row r="48" spans="3:7" ht="15.75" thickBot="1" x14ac:dyDescent="0.3">
      <c r="C48" s="31" t="s">
        <v>38</v>
      </c>
      <c r="D48" s="22"/>
      <c r="E48" s="32">
        <f>G46+E47</f>
        <v>1.5095541818181817</v>
      </c>
      <c r="F48" s="42"/>
      <c r="G48" s="33"/>
    </row>
  </sheetData>
  <pageMargins left="0" right="0" top="0" bottom="0" header="0.31496062992125984" footer="0.31496062992125984"/>
  <pageSetup paperSize="9" scale="88" orientation="portrait" r:id="rId1"/>
  <headerFooter>
    <oddHeader>&amp;L&amp;"Aptos"&amp;8&amp;K0000FF [PRIVATE]&amp;1#_x000D_</oddHeader>
    <oddFooter>&amp;L_x000D_&amp;1#&amp;"Aptos"&amp;8&amp;K0000FF [PRIVATE]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F3E6-8343-4A08-A68A-615A8CEDED1A}">
  <dimension ref="C1:G47"/>
  <sheetViews>
    <sheetView workbookViewId="0">
      <selection activeCell="H32" sqref="H32"/>
    </sheetView>
  </sheetViews>
  <sheetFormatPr baseColWidth="10" defaultRowHeight="15" x14ac:dyDescent="0.25"/>
  <cols>
    <col min="2" max="2" width="7.28515625" customWidth="1"/>
    <col min="3" max="3" width="45" customWidth="1"/>
  </cols>
  <sheetData>
    <row r="1" spans="3:7" x14ac:dyDescent="0.25">
      <c r="C1" s="1" t="s">
        <v>102</v>
      </c>
      <c r="D1" s="1"/>
      <c r="E1" s="44"/>
      <c r="F1" s="34"/>
      <c r="G1" s="3"/>
    </row>
    <row r="2" spans="3:7" x14ac:dyDescent="0.25">
      <c r="C2" s="2"/>
      <c r="D2" s="2"/>
      <c r="E2" s="1" t="s">
        <v>0</v>
      </c>
      <c r="F2" s="34" t="s">
        <v>1</v>
      </c>
      <c r="G2" s="3" t="s">
        <v>2</v>
      </c>
    </row>
    <row r="3" spans="3:7" x14ac:dyDescent="0.25">
      <c r="C3" s="5" t="s">
        <v>3</v>
      </c>
      <c r="D3" s="5"/>
      <c r="E3" s="5"/>
      <c r="F3" s="35"/>
      <c r="G3" s="6"/>
    </row>
    <row r="4" spans="3:7" x14ac:dyDescent="0.25">
      <c r="C4" s="5" t="s">
        <v>4</v>
      </c>
      <c r="D4" s="5"/>
      <c r="E4" s="5"/>
      <c r="F4" s="35"/>
      <c r="G4" s="6"/>
    </row>
    <row r="5" spans="3:7" x14ac:dyDescent="0.25">
      <c r="C5" s="7" t="s">
        <v>5</v>
      </c>
      <c r="D5" s="7"/>
      <c r="E5" s="7">
        <f>'CALCULADORA COSTES'!B14*'CALCULADORA COSTES'!B15</f>
        <v>6600</v>
      </c>
      <c r="F5" s="36"/>
      <c r="G5" s="8"/>
    </row>
    <row r="6" spans="3:7" x14ac:dyDescent="0.25">
      <c r="C6" s="7" t="s">
        <v>6</v>
      </c>
      <c r="D6" s="7"/>
      <c r="E6" s="9">
        <f>SUM(E7:E29)</f>
        <v>4109</v>
      </c>
      <c r="F6" s="36">
        <f>E6/E$5</f>
        <v>0.62257575757575756</v>
      </c>
      <c r="G6" s="10">
        <f>E6/E$5</f>
        <v>0.62257575757575756</v>
      </c>
    </row>
    <row r="7" spans="3:7" x14ac:dyDescent="0.25">
      <c r="C7" s="5" t="s">
        <v>7</v>
      </c>
      <c r="D7" s="5"/>
      <c r="E7" s="5">
        <f>'CALCULADORA COSTES'!E3</f>
        <v>2400</v>
      </c>
      <c r="F7" s="36">
        <f t="shared" ref="F7:F29" si="0">E7/E$5</f>
        <v>0.36363636363636365</v>
      </c>
      <c r="G7" s="11">
        <f t="shared" ref="G7:G29" si="1">E7/E$5</f>
        <v>0.36363636363636365</v>
      </c>
    </row>
    <row r="8" spans="3:7" x14ac:dyDescent="0.25">
      <c r="C8" s="5" t="s">
        <v>8</v>
      </c>
      <c r="D8" s="5"/>
      <c r="E8" s="5">
        <v>300</v>
      </c>
      <c r="F8" s="36">
        <f>E8/E$5</f>
        <v>4.5454545454545456E-2</v>
      </c>
      <c r="G8" s="11">
        <f>E8/E$5</f>
        <v>4.5454545454545456E-2</v>
      </c>
    </row>
    <row r="9" spans="3:7" x14ac:dyDescent="0.25">
      <c r="C9" s="5" t="s">
        <v>9</v>
      </c>
      <c r="D9" s="5"/>
      <c r="E9" s="5">
        <v>18</v>
      </c>
      <c r="F9" s="36">
        <f t="shared" si="0"/>
        <v>2.7272727272727275E-3</v>
      </c>
      <c r="G9" s="11">
        <f t="shared" si="1"/>
        <v>2.7272727272727275E-3</v>
      </c>
    </row>
    <row r="10" spans="3:7" x14ac:dyDescent="0.25">
      <c r="C10" s="5" t="s">
        <v>10</v>
      </c>
      <c r="D10" s="5"/>
      <c r="E10" s="12">
        <v>348</v>
      </c>
      <c r="F10" s="36">
        <f t="shared" si="0"/>
        <v>5.2727272727272727E-2</v>
      </c>
      <c r="G10" s="11">
        <f t="shared" si="1"/>
        <v>5.2727272727272727E-2</v>
      </c>
    </row>
    <row r="11" spans="3:7" x14ac:dyDescent="0.25">
      <c r="C11" s="13" t="s">
        <v>11</v>
      </c>
      <c r="D11" s="13"/>
      <c r="E11" s="13">
        <v>100</v>
      </c>
      <c r="F11" s="36">
        <f t="shared" si="0"/>
        <v>1.5151515151515152E-2</v>
      </c>
      <c r="G11" s="14">
        <f t="shared" si="1"/>
        <v>1.5151515151515152E-2</v>
      </c>
    </row>
    <row r="12" spans="3:7" x14ac:dyDescent="0.25">
      <c r="C12" s="5" t="s">
        <v>12</v>
      </c>
      <c r="D12" s="5"/>
      <c r="E12" s="5">
        <v>50</v>
      </c>
      <c r="F12" s="36">
        <f t="shared" si="0"/>
        <v>7.575757575757576E-3</v>
      </c>
      <c r="G12" s="11">
        <f t="shared" si="1"/>
        <v>7.575757575757576E-3</v>
      </c>
    </row>
    <row r="13" spans="3:7" x14ac:dyDescent="0.25">
      <c r="C13" s="5" t="s">
        <v>13</v>
      </c>
      <c r="D13" s="5"/>
      <c r="E13" s="12">
        <v>100</v>
      </c>
      <c r="F13" s="36">
        <f t="shared" si="0"/>
        <v>1.5151515151515152E-2</v>
      </c>
      <c r="G13" s="11">
        <f t="shared" si="1"/>
        <v>1.5151515151515152E-2</v>
      </c>
    </row>
    <row r="14" spans="3:7" x14ac:dyDescent="0.25">
      <c r="C14" s="5" t="s">
        <v>14</v>
      </c>
      <c r="D14" s="5"/>
      <c r="E14" s="5">
        <f>'CALCULADORA COSTES'!B20</f>
        <v>450</v>
      </c>
      <c r="F14" s="36">
        <f t="shared" si="0"/>
        <v>6.8181818181818177E-2</v>
      </c>
      <c r="G14" s="11">
        <f t="shared" si="1"/>
        <v>6.8181818181818177E-2</v>
      </c>
    </row>
    <row r="15" spans="3:7" x14ac:dyDescent="0.25">
      <c r="C15" s="5" t="s">
        <v>15</v>
      </c>
      <c r="D15" s="5"/>
      <c r="E15" s="12">
        <v>25</v>
      </c>
      <c r="F15" s="36">
        <f t="shared" si="0"/>
        <v>3.787878787878788E-3</v>
      </c>
      <c r="G15" s="11">
        <f t="shared" si="1"/>
        <v>3.787878787878788E-3</v>
      </c>
    </row>
    <row r="16" spans="3:7" x14ac:dyDescent="0.25">
      <c r="C16" s="5" t="s">
        <v>16</v>
      </c>
      <c r="D16" s="5"/>
      <c r="E16" s="12">
        <v>18</v>
      </c>
      <c r="F16" s="36">
        <f t="shared" si="0"/>
        <v>2.7272727272727275E-3</v>
      </c>
      <c r="G16" s="11">
        <f t="shared" si="1"/>
        <v>2.7272727272727275E-3</v>
      </c>
    </row>
    <row r="17" spans="3:7" x14ac:dyDescent="0.25">
      <c r="C17" s="5" t="s">
        <v>17</v>
      </c>
      <c r="D17" s="5"/>
      <c r="E17" s="12">
        <v>150</v>
      </c>
      <c r="F17" s="36">
        <f t="shared" si="0"/>
        <v>2.2727272727272728E-2</v>
      </c>
      <c r="G17" s="11">
        <f t="shared" si="1"/>
        <v>2.2727272727272728E-2</v>
      </c>
    </row>
    <row r="18" spans="3:7" x14ac:dyDescent="0.25">
      <c r="C18" s="5" t="s">
        <v>18</v>
      </c>
      <c r="D18" s="5"/>
      <c r="E18" s="5">
        <v>50</v>
      </c>
      <c r="F18" s="36">
        <f t="shared" si="0"/>
        <v>7.575757575757576E-3</v>
      </c>
      <c r="G18" s="11">
        <f t="shared" si="1"/>
        <v>7.575757575757576E-3</v>
      </c>
    </row>
    <row r="19" spans="3:7" x14ac:dyDescent="0.25">
      <c r="C19" s="5" t="s">
        <v>19</v>
      </c>
      <c r="D19" s="5"/>
      <c r="E19" s="5">
        <v>85</v>
      </c>
      <c r="F19" s="36">
        <f t="shared" si="0"/>
        <v>1.2878787878787878E-2</v>
      </c>
      <c r="G19" s="11">
        <f t="shared" si="1"/>
        <v>1.2878787878787878E-2</v>
      </c>
    </row>
    <row r="20" spans="3:7" x14ac:dyDescent="0.25">
      <c r="C20" s="5" t="s">
        <v>20</v>
      </c>
      <c r="D20" s="5"/>
      <c r="E20" s="12">
        <v>15</v>
      </c>
      <c r="F20" s="36">
        <f t="shared" si="0"/>
        <v>2.2727272727272726E-3</v>
      </c>
      <c r="G20" s="11">
        <f t="shared" si="1"/>
        <v>2.2727272727272726E-3</v>
      </c>
    </row>
    <row r="21" spans="3:7" x14ac:dyDescent="0.25">
      <c r="C21" s="5" t="s">
        <v>21</v>
      </c>
      <c r="D21" s="5"/>
      <c r="E21" s="5"/>
      <c r="F21" s="36">
        <f t="shared" si="0"/>
        <v>0</v>
      </c>
      <c r="G21" s="11">
        <f t="shared" si="1"/>
        <v>0</v>
      </c>
    </row>
    <row r="22" spans="3:7" x14ac:dyDescent="0.25">
      <c r="C22" s="5" t="s">
        <v>22</v>
      </c>
      <c r="D22" s="5"/>
      <c r="E22" s="5"/>
      <c r="F22" s="36">
        <f t="shared" si="0"/>
        <v>0</v>
      </c>
      <c r="G22" s="11">
        <f t="shared" si="1"/>
        <v>0</v>
      </c>
    </row>
    <row r="23" spans="3:7" x14ac:dyDescent="0.25">
      <c r="C23" s="5" t="s">
        <v>23</v>
      </c>
      <c r="D23" s="5"/>
      <c r="E23" s="5"/>
      <c r="F23" s="36">
        <f t="shared" si="0"/>
        <v>0</v>
      </c>
      <c r="G23" s="11">
        <f t="shared" si="1"/>
        <v>0</v>
      </c>
    </row>
    <row r="24" spans="3:7" x14ac:dyDescent="0.25">
      <c r="C24" s="5" t="s">
        <v>24</v>
      </c>
      <c r="D24" s="5"/>
      <c r="E24" s="5"/>
      <c r="F24" s="36">
        <f t="shared" si="0"/>
        <v>0</v>
      </c>
      <c r="G24" s="11">
        <f t="shared" si="1"/>
        <v>0</v>
      </c>
    </row>
    <row r="25" spans="3:7" x14ac:dyDescent="0.25">
      <c r="C25" s="5" t="s">
        <v>25</v>
      </c>
      <c r="D25" s="5"/>
      <c r="E25" s="5"/>
      <c r="F25" s="36">
        <f t="shared" si="0"/>
        <v>0</v>
      </c>
      <c r="G25" s="11">
        <f t="shared" si="1"/>
        <v>0</v>
      </c>
    </row>
    <row r="26" spans="3:7" x14ac:dyDescent="0.25">
      <c r="C26" s="5" t="s">
        <v>26</v>
      </c>
      <c r="D26" s="5"/>
      <c r="E26" s="5"/>
      <c r="F26" s="36">
        <f t="shared" si="0"/>
        <v>0</v>
      </c>
      <c r="G26" s="11">
        <f t="shared" si="1"/>
        <v>0</v>
      </c>
    </row>
    <row r="27" spans="3:7" x14ac:dyDescent="0.25">
      <c r="C27" s="5" t="s">
        <v>27</v>
      </c>
      <c r="D27" s="5"/>
      <c r="E27" s="5"/>
      <c r="F27" s="36">
        <f t="shared" si="0"/>
        <v>0</v>
      </c>
      <c r="G27" s="11">
        <f t="shared" si="1"/>
        <v>0</v>
      </c>
    </row>
    <row r="28" spans="3:7" x14ac:dyDescent="0.25">
      <c r="C28" s="13" t="s">
        <v>45</v>
      </c>
      <c r="D28" s="13"/>
      <c r="E28" s="13">
        <v>0</v>
      </c>
      <c r="F28" s="36">
        <f t="shared" si="0"/>
        <v>0</v>
      </c>
      <c r="G28" s="15">
        <f t="shared" si="1"/>
        <v>0</v>
      </c>
    </row>
    <row r="29" spans="3:7" x14ac:dyDescent="0.25">
      <c r="C29" s="5" t="s">
        <v>28</v>
      </c>
      <c r="D29" s="5"/>
      <c r="E29" s="5"/>
      <c r="F29" s="36">
        <f t="shared" si="0"/>
        <v>0</v>
      </c>
      <c r="G29" s="11">
        <f t="shared" si="1"/>
        <v>0</v>
      </c>
    </row>
    <row r="30" spans="3:7" x14ac:dyDescent="0.25">
      <c r="C30" s="7" t="s">
        <v>29</v>
      </c>
      <c r="D30" s="7"/>
      <c r="E30" s="9">
        <f>SUM(E31:E36)</f>
        <v>6569.0560000000005</v>
      </c>
      <c r="F30" s="38">
        <f>E30/E5</f>
        <v>0.99531151515151528</v>
      </c>
      <c r="G30" s="16">
        <f>SUM(G31:G36)</f>
        <v>0.99531151515151528</v>
      </c>
    </row>
    <row r="31" spans="3:7" x14ac:dyDescent="0.25">
      <c r="C31" s="5" t="s">
        <v>30</v>
      </c>
      <c r="D31" s="5">
        <f>(2000+85+22*36.06+20+150)*'CALCULADORA COSTES'!B16</f>
        <v>3048.32</v>
      </c>
      <c r="E31" s="5">
        <f>D31*(1+'CALCULADORA COSTES'!E26)</f>
        <v>3200.7360000000003</v>
      </c>
      <c r="F31" s="37">
        <f>E31/E5</f>
        <v>0.48496000000000006</v>
      </c>
      <c r="G31" s="17">
        <f>E31/E5</f>
        <v>0.48496000000000006</v>
      </c>
    </row>
    <row r="32" spans="3:7" x14ac:dyDescent="0.25">
      <c r="C32" s="13" t="s">
        <v>44</v>
      </c>
      <c r="D32" s="13">
        <f>'CALCULADORA COSTES'!B5*'CALCULADORA COSTES'!C5</f>
        <v>0.47520000000000001</v>
      </c>
      <c r="E32" s="18">
        <f>+D32*E5</f>
        <v>3136.32</v>
      </c>
      <c r="F32" s="37">
        <f>E32/E5</f>
        <v>0.47520000000000001</v>
      </c>
      <c r="G32" s="17">
        <f>E32/E5</f>
        <v>0.47520000000000001</v>
      </c>
    </row>
    <row r="33" spans="3:7" x14ac:dyDescent="0.25">
      <c r="C33" s="13" t="s">
        <v>46</v>
      </c>
      <c r="D33" s="43">
        <f>0</f>
        <v>0</v>
      </c>
      <c r="E33" s="13">
        <f>'CALCULADORA COSTES'!E24*'CALCULADORA COSTES'!E25</f>
        <v>0</v>
      </c>
      <c r="F33" s="37">
        <f>E33/E5</f>
        <v>0</v>
      </c>
      <c r="G33" s="17">
        <f>E33/E5</f>
        <v>0</v>
      </c>
    </row>
    <row r="34" spans="3:7" x14ac:dyDescent="0.25">
      <c r="C34" s="5" t="s">
        <v>39</v>
      </c>
      <c r="D34" s="5">
        <v>0.01</v>
      </c>
      <c r="E34" s="12">
        <f>+D34*E5</f>
        <v>66</v>
      </c>
      <c r="F34" s="37">
        <f>E34/E5</f>
        <v>0.01</v>
      </c>
      <c r="G34" s="17">
        <f>E34/E5</f>
        <v>0.01</v>
      </c>
    </row>
    <row r="35" spans="3:7" x14ac:dyDescent="0.25">
      <c r="C35" s="5" t="s">
        <v>40</v>
      </c>
      <c r="D35" s="5">
        <v>0.01</v>
      </c>
      <c r="E35" s="12">
        <f>+D35*E5</f>
        <v>66</v>
      </c>
      <c r="F35" s="37">
        <f>E35/E5</f>
        <v>0.01</v>
      </c>
      <c r="G35" s="17">
        <f>E35/E5</f>
        <v>0.01</v>
      </c>
    </row>
    <row r="36" spans="3:7" x14ac:dyDescent="0.25">
      <c r="C36" s="5" t="s">
        <v>31</v>
      </c>
      <c r="D36" s="5"/>
      <c r="E36" s="12">
        <v>100</v>
      </c>
      <c r="F36" s="37">
        <f>E36/E5</f>
        <v>1.5151515151515152E-2</v>
      </c>
      <c r="G36" s="17">
        <f>E36/E5</f>
        <v>1.5151515151515152E-2</v>
      </c>
    </row>
    <row r="37" spans="3:7" x14ac:dyDescent="0.25">
      <c r="C37" s="19"/>
      <c r="D37" s="19"/>
      <c r="E37" s="19"/>
      <c r="F37" s="39"/>
      <c r="G37" s="20"/>
    </row>
    <row r="38" spans="3:7" ht="15.75" thickBot="1" x14ac:dyDescent="0.3">
      <c r="C38" s="19"/>
      <c r="D38" s="19"/>
      <c r="E38" s="19"/>
      <c r="F38" s="39"/>
      <c r="G38" s="20"/>
    </row>
    <row r="39" spans="3:7" ht="15.75" thickBot="1" x14ac:dyDescent="0.3">
      <c r="C39" s="21" t="s">
        <v>32</v>
      </c>
      <c r="D39" s="22"/>
      <c r="E39" s="23">
        <f>E30+E6</f>
        <v>10678.056</v>
      </c>
      <c r="F39" s="40">
        <v>1</v>
      </c>
      <c r="G39" s="46">
        <f>SUM(G30+G6)</f>
        <v>1.6178872727272728</v>
      </c>
    </row>
    <row r="40" spans="3:7" x14ac:dyDescent="0.25">
      <c r="C40" s="19"/>
      <c r="D40" s="19"/>
      <c r="E40" s="19"/>
      <c r="F40" s="39">
        <v>0</v>
      </c>
      <c r="G40" s="24">
        <v>0</v>
      </c>
    </row>
    <row r="41" spans="3:7" x14ac:dyDescent="0.25">
      <c r="C41" s="5" t="s">
        <v>33</v>
      </c>
      <c r="D41" s="5"/>
      <c r="E41" s="5">
        <v>275</v>
      </c>
      <c r="F41" s="37">
        <f>E41/E5</f>
        <v>4.1666666666666664E-2</v>
      </c>
      <c r="G41" s="17">
        <f>E41/E5</f>
        <v>4.1666666666666664E-2</v>
      </c>
    </row>
    <row r="42" spans="3:7" x14ac:dyDescent="0.25">
      <c r="C42" s="5" t="s">
        <v>41</v>
      </c>
      <c r="D42" s="45">
        <v>0.04</v>
      </c>
      <c r="E42" s="12">
        <f>+E39*0.04</f>
        <v>427.12224000000003</v>
      </c>
      <c r="F42" s="37">
        <f>E42/E5</f>
        <v>6.4715490909090914E-2</v>
      </c>
      <c r="G42" s="17">
        <f>E42/E5</f>
        <v>6.4715490909090914E-2</v>
      </c>
    </row>
    <row r="43" spans="3:7" x14ac:dyDescent="0.25">
      <c r="C43" s="5" t="s">
        <v>34</v>
      </c>
      <c r="D43" s="5"/>
      <c r="E43" s="5"/>
      <c r="F43" s="35">
        <v>0</v>
      </c>
      <c r="G43" s="25">
        <v>0</v>
      </c>
    </row>
    <row r="44" spans="3:7" x14ac:dyDescent="0.25">
      <c r="C44" s="5" t="s">
        <v>35</v>
      </c>
      <c r="D44" s="5"/>
      <c r="E44" s="5"/>
      <c r="F44" s="35">
        <v>0</v>
      </c>
      <c r="G44" s="25">
        <v>0</v>
      </c>
    </row>
    <row r="45" spans="3:7" x14ac:dyDescent="0.25">
      <c r="C45" s="7" t="s">
        <v>36</v>
      </c>
      <c r="D45" s="7"/>
      <c r="E45" s="26">
        <f>E39+SUM(E41:E44)</f>
        <v>11380.178240000001</v>
      </c>
      <c r="F45" s="27">
        <v>1</v>
      </c>
      <c r="G45" s="47">
        <f>SUM(G39:G44)</f>
        <v>1.7242694303030306</v>
      </c>
    </row>
    <row r="46" spans="3:7" ht="15.75" thickBot="1" x14ac:dyDescent="0.3">
      <c r="C46" s="28" t="s">
        <v>37</v>
      </c>
      <c r="D46" s="28"/>
      <c r="E46" s="29"/>
      <c r="F46" s="41"/>
      <c r="G46" s="30"/>
    </row>
    <row r="47" spans="3:7" ht="15.75" thickBot="1" x14ac:dyDescent="0.3">
      <c r="C47" s="31" t="s">
        <v>38</v>
      </c>
      <c r="D47" s="22"/>
      <c r="E47" s="32">
        <f>G45+E46</f>
        <v>1.7242694303030306</v>
      </c>
      <c r="F47" s="42"/>
      <c r="G47" s="33"/>
    </row>
  </sheetData>
  <pageMargins left="0.7" right="0.7" top="0.75" bottom="0.75" header="0.3" footer="0.3"/>
  <headerFooter>
    <oddHeader>&amp;L&amp;"Aptos"&amp;8&amp;K0000FF [PRIVATE]&amp;1#_x000D_</oddHeader>
    <oddFooter>&amp;L_x000D_&amp;1#&amp;"Aptos"&amp;8&amp;K0000FF [PRIVATE]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26B9D-C490-42BE-94E8-57C6C1E926DA}">
  <dimension ref="A1:G47"/>
  <sheetViews>
    <sheetView topLeftCell="A72" workbookViewId="0">
      <selection activeCell="E31" sqref="E31"/>
    </sheetView>
  </sheetViews>
  <sheetFormatPr baseColWidth="10" defaultRowHeight="15" x14ac:dyDescent="0.25"/>
  <sheetData>
    <row r="1" spans="1:7" x14ac:dyDescent="0.25">
      <c r="A1" s="4"/>
      <c r="C1" s="1" t="s">
        <v>42</v>
      </c>
      <c r="D1" s="1"/>
      <c r="E1" s="44"/>
      <c r="F1" s="34"/>
      <c r="G1" s="3"/>
    </row>
    <row r="2" spans="1:7" x14ac:dyDescent="0.25">
      <c r="C2" s="2"/>
      <c r="D2" s="2"/>
      <c r="E2" s="1" t="s">
        <v>0</v>
      </c>
      <c r="F2" s="34" t="s">
        <v>1</v>
      </c>
      <c r="G2" s="3" t="s">
        <v>2</v>
      </c>
    </row>
    <row r="3" spans="1:7" x14ac:dyDescent="0.25">
      <c r="C3" s="5" t="s">
        <v>3</v>
      </c>
      <c r="D3" s="5"/>
      <c r="E3" s="5"/>
      <c r="F3" s="35"/>
      <c r="G3" s="6"/>
    </row>
    <row r="4" spans="1:7" x14ac:dyDescent="0.25">
      <c r="C4" s="5" t="s">
        <v>4</v>
      </c>
      <c r="D4" s="5"/>
      <c r="E4" s="5"/>
      <c r="F4" s="35"/>
      <c r="G4" s="6"/>
    </row>
    <row r="5" spans="1:7" x14ac:dyDescent="0.25">
      <c r="C5" s="7" t="s">
        <v>5</v>
      </c>
      <c r="D5" s="7"/>
      <c r="E5" s="56">
        <f>'CALCULADORA COSTES'!B14*'CALCULADORA COSTES'!B15</f>
        <v>6600</v>
      </c>
      <c r="F5" s="36"/>
      <c r="G5" s="8"/>
    </row>
    <row r="6" spans="1:7" x14ac:dyDescent="0.25">
      <c r="C6" s="7" t="s">
        <v>6</v>
      </c>
      <c r="D6" s="7"/>
      <c r="E6" s="9">
        <f>SUM(E7:E29)</f>
        <v>5705</v>
      </c>
      <c r="F6" s="36">
        <f>E6/E$5</f>
        <v>0.86439393939393938</v>
      </c>
      <c r="G6" s="10">
        <f>E6/E$5</f>
        <v>0.86439393939393938</v>
      </c>
    </row>
    <row r="7" spans="1:7" x14ac:dyDescent="0.25">
      <c r="C7" s="5" t="s">
        <v>7</v>
      </c>
      <c r="D7" s="5"/>
      <c r="E7" s="111">
        <f>'CALCULADORA COSTES'!$E6</f>
        <v>4000</v>
      </c>
      <c r="F7" s="36">
        <f t="shared" ref="F7:F29" si="0">E7/E$5</f>
        <v>0.60606060606060608</v>
      </c>
      <c r="G7" s="11">
        <f t="shared" ref="G7:G29" si="1">E7/E$5</f>
        <v>0.60606060606060608</v>
      </c>
    </row>
    <row r="8" spans="1:7" x14ac:dyDescent="0.25">
      <c r="C8" s="5" t="s">
        <v>8</v>
      </c>
      <c r="D8" s="5"/>
      <c r="E8" s="5">
        <v>300</v>
      </c>
      <c r="F8" s="36">
        <f>E8/E$5</f>
        <v>4.5454545454545456E-2</v>
      </c>
      <c r="G8" s="11">
        <f>E8/E$5</f>
        <v>4.5454545454545456E-2</v>
      </c>
    </row>
    <row r="9" spans="1:7" x14ac:dyDescent="0.25">
      <c r="C9" s="5" t="s">
        <v>9</v>
      </c>
      <c r="D9" s="5"/>
      <c r="E9" s="5">
        <v>18</v>
      </c>
      <c r="F9" s="36">
        <f t="shared" si="0"/>
        <v>2.7272727272727275E-3</v>
      </c>
      <c r="G9" s="11">
        <f t="shared" si="1"/>
        <v>2.7272727272727275E-3</v>
      </c>
    </row>
    <row r="10" spans="1:7" x14ac:dyDescent="0.25">
      <c r="C10" s="5" t="s">
        <v>10</v>
      </c>
      <c r="D10" s="5"/>
      <c r="E10" s="12">
        <v>348</v>
      </c>
      <c r="F10" s="36">
        <f t="shared" si="0"/>
        <v>5.2727272727272727E-2</v>
      </c>
      <c r="G10" s="11">
        <f t="shared" si="1"/>
        <v>5.2727272727272727E-2</v>
      </c>
    </row>
    <row r="11" spans="1:7" x14ac:dyDescent="0.25">
      <c r="C11" s="13" t="s">
        <v>11</v>
      </c>
      <c r="D11" s="13"/>
      <c r="E11" s="13">
        <v>100</v>
      </c>
      <c r="F11" s="36">
        <f t="shared" si="0"/>
        <v>1.5151515151515152E-2</v>
      </c>
      <c r="G11" s="14">
        <f t="shared" si="1"/>
        <v>1.5151515151515152E-2</v>
      </c>
    </row>
    <row r="12" spans="1:7" x14ac:dyDescent="0.25">
      <c r="C12" s="5" t="s">
        <v>12</v>
      </c>
      <c r="D12" s="5"/>
      <c r="E12" s="5">
        <v>50</v>
      </c>
      <c r="F12" s="36">
        <f t="shared" si="0"/>
        <v>7.575757575757576E-3</v>
      </c>
      <c r="G12" s="11">
        <f t="shared" si="1"/>
        <v>7.575757575757576E-3</v>
      </c>
    </row>
    <row r="13" spans="1:7" x14ac:dyDescent="0.25">
      <c r="C13" s="5" t="s">
        <v>13</v>
      </c>
      <c r="D13" s="5"/>
      <c r="E13" s="12">
        <v>100</v>
      </c>
      <c r="F13" s="36">
        <f t="shared" si="0"/>
        <v>1.5151515151515152E-2</v>
      </c>
      <c r="G13" s="11">
        <f t="shared" si="1"/>
        <v>1.5151515151515152E-2</v>
      </c>
    </row>
    <row r="14" spans="1:7" x14ac:dyDescent="0.25">
      <c r="C14" s="5" t="s">
        <v>14</v>
      </c>
      <c r="D14" s="5"/>
      <c r="E14" s="5">
        <f>'CALCULADORA COSTES'!B20</f>
        <v>450</v>
      </c>
      <c r="F14" s="36">
        <f t="shared" si="0"/>
        <v>6.8181818181818177E-2</v>
      </c>
      <c r="G14" s="11">
        <f t="shared" si="1"/>
        <v>6.8181818181818177E-2</v>
      </c>
    </row>
    <row r="15" spans="1:7" x14ac:dyDescent="0.25">
      <c r="C15" s="5" t="s">
        <v>15</v>
      </c>
      <c r="D15" s="5"/>
      <c r="E15" s="12">
        <v>25</v>
      </c>
      <c r="F15" s="36">
        <f t="shared" si="0"/>
        <v>3.787878787878788E-3</v>
      </c>
      <c r="G15" s="11">
        <f t="shared" si="1"/>
        <v>3.787878787878788E-3</v>
      </c>
    </row>
    <row r="16" spans="1:7" x14ac:dyDescent="0.25">
      <c r="C16" s="5" t="s">
        <v>16</v>
      </c>
      <c r="D16" s="5"/>
      <c r="E16" s="12">
        <v>18</v>
      </c>
      <c r="F16" s="36">
        <f t="shared" si="0"/>
        <v>2.7272727272727275E-3</v>
      </c>
      <c r="G16" s="11">
        <f t="shared" si="1"/>
        <v>2.7272727272727275E-3</v>
      </c>
    </row>
    <row r="17" spans="3:7" x14ac:dyDescent="0.25">
      <c r="C17" s="5" t="s">
        <v>17</v>
      </c>
      <c r="D17" s="5"/>
      <c r="E17" s="12">
        <v>150</v>
      </c>
      <c r="F17" s="36">
        <f t="shared" si="0"/>
        <v>2.2727272727272728E-2</v>
      </c>
      <c r="G17" s="11">
        <f t="shared" si="1"/>
        <v>2.2727272727272728E-2</v>
      </c>
    </row>
    <row r="18" spans="3:7" x14ac:dyDescent="0.25">
      <c r="C18" s="5" t="s">
        <v>18</v>
      </c>
      <c r="D18" s="5"/>
      <c r="E18" s="5">
        <v>50</v>
      </c>
      <c r="F18" s="36">
        <f t="shared" si="0"/>
        <v>7.575757575757576E-3</v>
      </c>
      <c r="G18" s="11">
        <f t="shared" si="1"/>
        <v>7.575757575757576E-3</v>
      </c>
    </row>
    <row r="19" spans="3:7" x14ac:dyDescent="0.25">
      <c r="C19" s="5" t="s">
        <v>19</v>
      </c>
      <c r="D19" s="5"/>
      <c r="E19" s="5">
        <v>85</v>
      </c>
      <c r="F19" s="36">
        <f t="shared" si="0"/>
        <v>1.2878787878787878E-2</v>
      </c>
      <c r="G19" s="11">
        <f t="shared" si="1"/>
        <v>1.2878787878787878E-2</v>
      </c>
    </row>
    <row r="20" spans="3:7" x14ac:dyDescent="0.25">
      <c r="C20" s="5" t="s">
        <v>20</v>
      </c>
      <c r="D20" s="5"/>
      <c r="E20" s="12">
        <v>11</v>
      </c>
      <c r="F20" s="36">
        <f t="shared" si="0"/>
        <v>1.6666666666666668E-3</v>
      </c>
      <c r="G20" s="11">
        <f t="shared" si="1"/>
        <v>1.6666666666666668E-3</v>
      </c>
    </row>
    <row r="21" spans="3:7" x14ac:dyDescent="0.25">
      <c r="C21" s="5" t="s">
        <v>21</v>
      </c>
      <c r="D21" s="5"/>
      <c r="E21" s="5"/>
      <c r="F21" s="36">
        <f t="shared" si="0"/>
        <v>0</v>
      </c>
      <c r="G21" s="11">
        <f t="shared" si="1"/>
        <v>0</v>
      </c>
    </row>
    <row r="22" spans="3:7" x14ac:dyDescent="0.25">
      <c r="C22" s="5" t="s">
        <v>22</v>
      </c>
      <c r="D22" s="5"/>
      <c r="E22" s="5"/>
      <c r="F22" s="36">
        <f t="shared" si="0"/>
        <v>0</v>
      </c>
      <c r="G22" s="11">
        <f t="shared" si="1"/>
        <v>0</v>
      </c>
    </row>
    <row r="23" spans="3:7" x14ac:dyDescent="0.25">
      <c r="C23" s="5" t="s">
        <v>23</v>
      </c>
      <c r="D23" s="5"/>
      <c r="E23" s="5"/>
      <c r="F23" s="36">
        <f t="shared" si="0"/>
        <v>0</v>
      </c>
      <c r="G23" s="11">
        <f t="shared" si="1"/>
        <v>0</v>
      </c>
    </row>
    <row r="24" spans="3:7" x14ac:dyDescent="0.25">
      <c r="C24" s="5" t="s">
        <v>24</v>
      </c>
      <c r="D24" s="5"/>
      <c r="E24" s="5"/>
      <c r="F24" s="36">
        <f t="shared" si="0"/>
        <v>0</v>
      </c>
      <c r="G24" s="11">
        <f t="shared" si="1"/>
        <v>0</v>
      </c>
    </row>
    <row r="25" spans="3:7" x14ac:dyDescent="0.25">
      <c r="C25" s="5" t="s">
        <v>25</v>
      </c>
      <c r="D25" s="5"/>
      <c r="E25" s="5"/>
      <c r="F25" s="36">
        <f t="shared" si="0"/>
        <v>0</v>
      </c>
      <c r="G25" s="11">
        <f t="shared" si="1"/>
        <v>0</v>
      </c>
    </row>
    <row r="26" spans="3:7" x14ac:dyDescent="0.25">
      <c r="C26" s="5" t="s">
        <v>26</v>
      </c>
      <c r="D26" s="5"/>
      <c r="E26" s="5"/>
      <c r="F26" s="36">
        <f t="shared" si="0"/>
        <v>0</v>
      </c>
      <c r="G26" s="11">
        <f t="shared" si="1"/>
        <v>0</v>
      </c>
    </row>
    <row r="27" spans="3:7" x14ac:dyDescent="0.25">
      <c r="C27" s="5" t="s">
        <v>27</v>
      </c>
      <c r="D27" s="5"/>
      <c r="E27" s="5"/>
      <c r="F27" s="36">
        <f t="shared" si="0"/>
        <v>0</v>
      </c>
      <c r="G27" s="11">
        <f t="shared" si="1"/>
        <v>0</v>
      </c>
    </row>
    <row r="28" spans="3:7" x14ac:dyDescent="0.25">
      <c r="C28" s="13" t="s">
        <v>47</v>
      </c>
      <c r="D28" s="13"/>
      <c r="E28" s="13">
        <v>0</v>
      </c>
      <c r="F28" s="36">
        <f t="shared" si="0"/>
        <v>0</v>
      </c>
      <c r="G28" s="15">
        <f t="shared" si="1"/>
        <v>0</v>
      </c>
    </row>
    <row r="29" spans="3:7" x14ac:dyDescent="0.25">
      <c r="C29" s="5" t="s">
        <v>28</v>
      </c>
      <c r="D29" s="5"/>
      <c r="E29" s="5"/>
      <c r="F29" s="36">
        <f t="shared" si="0"/>
        <v>0</v>
      </c>
      <c r="G29" s="11">
        <f t="shared" si="1"/>
        <v>0</v>
      </c>
    </row>
    <row r="30" spans="3:7" x14ac:dyDescent="0.25">
      <c r="C30" s="7" t="s">
        <v>29</v>
      </c>
      <c r="D30" s="7"/>
      <c r="E30" s="9">
        <f>SUM(E31:E36)</f>
        <v>6210.34</v>
      </c>
      <c r="F30" s="38">
        <f>E30/E5</f>
        <v>0.94096060606060605</v>
      </c>
      <c r="G30" s="16">
        <f>SUM(G31:G36)</f>
        <v>0.94096060606060616</v>
      </c>
    </row>
    <row r="31" spans="3:7" x14ac:dyDescent="0.25">
      <c r="C31" s="5" t="s">
        <v>30</v>
      </c>
      <c r="D31" s="5">
        <f>'CALCULADORA COSTES'!B17*'CALCULADORA COSTES'!B16</f>
        <v>3048</v>
      </c>
      <c r="E31" s="5">
        <f>D31*(1+'CALCULADORA COSTES'!E26)</f>
        <v>3200.4</v>
      </c>
      <c r="F31" s="37">
        <f>E31/E5</f>
        <v>0.4849090909090909</v>
      </c>
      <c r="G31" s="17">
        <f>E31/E5</f>
        <v>0.4849090909090909</v>
      </c>
    </row>
    <row r="32" spans="3:7" x14ac:dyDescent="0.25">
      <c r="C32" s="13" t="s">
        <v>169</v>
      </c>
      <c r="D32" s="13">
        <f>'CALCULADORA COSTES'!B6*'CALCULADORA COSTES'!C6</f>
        <v>0.42090000000000005</v>
      </c>
      <c r="E32" s="18">
        <f>D32*E5</f>
        <v>2777.9400000000005</v>
      </c>
      <c r="F32" s="37">
        <f>E32/E5</f>
        <v>0.42090000000000005</v>
      </c>
      <c r="G32" s="17">
        <f>E32/E5</f>
        <v>0.42090000000000005</v>
      </c>
    </row>
    <row r="33" spans="3:7" x14ac:dyDescent="0.25">
      <c r="C33" s="13" t="s">
        <v>46</v>
      </c>
      <c r="D33" s="43"/>
      <c r="E33" s="13">
        <f>'CALCULADORA COSTES'!E24*'CALCULADORA COSTES'!E25</f>
        <v>0</v>
      </c>
      <c r="F33" s="37">
        <f>E33/E5</f>
        <v>0</v>
      </c>
      <c r="G33" s="17">
        <f>E33/E5</f>
        <v>0</v>
      </c>
    </row>
    <row r="34" spans="3:7" x14ac:dyDescent="0.25">
      <c r="C34" s="5" t="s">
        <v>39</v>
      </c>
      <c r="D34" s="5">
        <v>0.01</v>
      </c>
      <c r="E34" s="12">
        <f>+D34*E5</f>
        <v>66</v>
      </c>
      <c r="F34" s="37">
        <f>E34/E5</f>
        <v>0.01</v>
      </c>
      <c r="G34" s="17">
        <f>E34/E5</f>
        <v>0.01</v>
      </c>
    </row>
    <row r="35" spans="3:7" x14ac:dyDescent="0.25">
      <c r="C35" s="5" t="s">
        <v>40</v>
      </c>
      <c r="D35" s="5">
        <v>0.01</v>
      </c>
      <c r="E35" s="12">
        <f>+D35*E5</f>
        <v>66</v>
      </c>
      <c r="F35" s="37">
        <f>E35/E5</f>
        <v>0.01</v>
      </c>
      <c r="G35" s="17">
        <f>E35/E5</f>
        <v>0.01</v>
      </c>
    </row>
    <row r="36" spans="3:7" x14ac:dyDescent="0.25">
      <c r="C36" s="5" t="s">
        <v>31</v>
      </c>
      <c r="D36" s="5"/>
      <c r="E36" s="12">
        <v>100</v>
      </c>
      <c r="F36" s="37">
        <f>E36/E5</f>
        <v>1.5151515151515152E-2</v>
      </c>
      <c r="G36" s="17">
        <f>E36/E5</f>
        <v>1.5151515151515152E-2</v>
      </c>
    </row>
    <row r="37" spans="3:7" x14ac:dyDescent="0.25">
      <c r="C37" s="19"/>
      <c r="D37" s="19"/>
      <c r="E37" s="19"/>
      <c r="F37" s="39"/>
      <c r="G37" s="20"/>
    </row>
    <row r="38" spans="3:7" ht="15.75" thickBot="1" x14ac:dyDescent="0.3">
      <c r="C38" s="19"/>
      <c r="D38" s="19"/>
      <c r="E38" s="19"/>
      <c r="F38" s="39"/>
      <c r="G38" s="20"/>
    </row>
    <row r="39" spans="3:7" ht="15.75" thickBot="1" x14ac:dyDescent="0.3">
      <c r="C39" s="21" t="s">
        <v>32</v>
      </c>
      <c r="D39" s="22"/>
      <c r="E39" s="23">
        <f>E30+E6</f>
        <v>11915.34</v>
      </c>
      <c r="F39" s="40">
        <v>1</v>
      </c>
      <c r="G39" s="46">
        <f>SUM(G30+G6)</f>
        <v>1.8053545454545454</v>
      </c>
    </row>
    <row r="40" spans="3:7" x14ac:dyDescent="0.25">
      <c r="C40" s="19"/>
      <c r="D40" s="19"/>
      <c r="E40" s="19"/>
      <c r="F40" s="39">
        <v>0</v>
      </c>
      <c r="G40" s="24">
        <v>0</v>
      </c>
    </row>
    <row r="41" spans="3:7" x14ac:dyDescent="0.25">
      <c r="C41" s="5" t="s">
        <v>33</v>
      </c>
      <c r="D41" s="5"/>
      <c r="E41" s="5">
        <v>275</v>
      </c>
      <c r="F41" s="37">
        <f>E41/E5</f>
        <v>4.1666666666666664E-2</v>
      </c>
      <c r="G41" s="17">
        <f>E41/E5</f>
        <v>4.1666666666666664E-2</v>
      </c>
    </row>
    <row r="42" spans="3:7" x14ac:dyDescent="0.25">
      <c r="C42" s="5" t="s">
        <v>41</v>
      </c>
      <c r="D42" s="45">
        <v>0.04</v>
      </c>
      <c r="E42" s="12">
        <f>+E39*0.04</f>
        <v>476.61360000000002</v>
      </c>
      <c r="F42" s="37">
        <f>E42/E5</f>
        <v>7.2214181818181816E-2</v>
      </c>
      <c r="G42" s="17">
        <f>E42/E5</f>
        <v>7.2214181818181816E-2</v>
      </c>
    </row>
    <row r="43" spans="3:7" x14ac:dyDescent="0.25">
      <c r="C43" s="5" t="s">
        <v>34</v>
      </c>
      <c r="D43" s="5"/>
      <c r="E43" s="5"/>
      <c r="F43" s="35">
        <v>0</v>
      </c>
      <c r="G43" s="25">
        <v>0</v>
      </c>
    </row>
    <row r="44" spans="3:7" x14ac:dyDescent="0.25">
      <c r="C44" s="5" t="s">
        <v>35</v>
      </c>
      <c r="D44" s="5"/>
      <c r="E44" s="5"/>
      <c r="F44" s="35">
        <v>0</v>
      </c>
      <c r="G44" s="25">
        <v>0</v>
      </c>
    </row>
    <row r="45" spans="3:7" x14ac:dyDescent="0.25">
      <c r="C45" s="7" t="s">
        <v>36</v>
      </c>
      <c r="D45" s="7"/>
      <c r="E45" s="26">
        <f>E39+SUM(E41:E44)</f>
        <v>12666.953600000001</v>
      </c>
      <c r="F45" s="27">
        <v>1</v>
      </c>
      <c r="G45" s="47">
        <f>SUM(G39:G44)</f>
        <v>1.919235393939394</v>
      </c>
    </row>
    <row r="46" spans="3:7" ht="15.75" thickBot="1" x14ac:dyDescent="0.3">
      <c r="C46" s="28" t="s">
        <v>37</v>
      </c>
      <c r="D46" s="28"/>
      <c r="E46" s="29"/>
      <c r="F46" s="41"/>
      <c r="G46" s="30"/>
    </row>
    <row r="47" spans="3:7" ht="15.75" thickBot="1" x14ac:dyDescent="0.3">
      <c r="C47" s="31" t="s">
        <v>38</v>
      </c>
      <c r="D47" s="22"/>
      <c r="E47" s="32">
        <f>G45+E45</f>
        <v>12668.87283539394</v>
      </c>
      <c r="F47" s="42"/>
      <c r="G47" s="33"/>
    </row>
  </sheetData>
  <pageMargins left="0.7" right="0.7" top="0.75" bottom="0.75" header="0.3" footer="0.3"/>
  <headerFooter>
    <oddHeader>&amp;L&amp;"Aptos"&amp;8&amp;K0000FF [PRIVATE]&amp;1#_x000D_</oddHeader>
    <oddFooter>&amp;L_x000D_&amp;1#&amp;"Aptos"&amp;8&amp;K0000FF [PRIVATE]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1578-4015-481F-824B-A546E8B1CBCA}">
  <dimension ref="C1:L48"/>
  <sheetViews>
    <sheetView topLeftCell="A63" workbookViewId="0">
      <selection activeCell="J34" sqref="J34"/>
    </sheetView>
  </sheetViews>
  <sheetFormatPr baseColWidth="10" defaultRowHeight="15" x14ac:dyDescent="0.25"/>
  <cols>
    <col min="2" max="3" width="11.42578125" customWidth="1"/>
    <col min="4" max="4" width="21.42578125" customWidth="1"/>
    <col min="10" max="10" width="11.85546875" bestFit="1" customWidth="1"/>
    <col min="11" max="11" width="10.7109375" customWidth="1"/>
  </cols>
  <sheetData>
    <row r="1" spans="3:12" x14ac:dyDescent="0.25">
      <c r="J1" s="1"/>
      <c r="K1" s="2"/>
      <c r="L1" s="88"/>
    </row>
    <row r="2" spans="3:12" x14ac:dyDescent="0.25">
      <c r="C2" s="2"/>
      <c r="D2" s="2"/>
      <c r="E2" s="1" t="s">
        <v>0</v>
      </c>
      <c r="F2" s="34" t="s">
        <v>1</v>
      </c>
      <c r="G2" s="3" t="s">
        <v>2</v>
      </c>
      <c r="J2" s="2"/>
      <c r="K2" s="2"/>
      <c r="L2" s="1"/>
    </row>
    <row r="3" spans="3:12" x14ac:dyDescent="0.25">
      <c r="C3" s="5" t="s">
        <v>3</v>
      </c>
      <c r="D3" s="5"/>
      <c r="E3" s="5"/>
      <c r="F3" s="35"/>
      <c r="G3" s="6"/>
    </row>
    <row r="4" spans="3:12" x14ac:dyDescent="0.25">
      <c r="C4" s="5" t="s">
        <v>4</v>
      </c>
      <c r="D4" s="5"/>
      <c r="E4" s="5"/>
      <c r="F4" s="35"/>
      <c r="G4" s="6"/>
    </row>
    <row r="5" spans="3:12" x14ac:dyDescent="0.25">
      <c r="C5" s="7" t="s">
        <v>5</v>
      </c>
      <c r="D5" s="7"/>
      <c r="E5" s="7">
        <f>'CALCULADORA COSTES'!B14*'CALCULADORA COSTES'!B15</f>
        <v>6600</v>
      </c>
      <c r="F5" s="36"/>
      <c r="G5" s="8"/>
    </row>
    <row r="6" spans="3:12" x14ac:dyDescent="0.25">
      <c r="C6" s="7" t="s">
        <v>6</v>
      </c>
      <c r="D6" s="7"/>
      <c r="E6" s="9">
        <f>SUM(E7:E29)</f>
        <v>5047</v>
      </c>
      <c r="F6" s="36">
        <f>E6/E$5</f>
        <v>0.76469696969696965</v>
      </c>
      <c r="G6" s="10">
        <f>E6/E$5</f>
        <v>0.76469696969696965</v>
      </c>
    </row>
    <row r="7" spans="3:12" x14ac:dyDescent="0.25">
      <c r="C7" s="5" t="s">
        <v>7</v>
      </c>
      <c r="D7" s="5"/>
      <c r="E7" s="5">
        <f>'CALCULADORA COSTES'!E9</f>
        <v>2200</v>
      </c>
      <c r="F7" s="36">
        <f t="shared" ref="F7:F29" si="0">E7/E$5</f>
        <v>0.33333333333333331</v>
      </c>
      <c r="G7" s="11">
        <f t="shared" ref="G7:G29" si="1">E7/E$5</f>
        <v>0.33333333333333331</v>
      </c>
    </row>
    <row r="8" spans="3:12" x14ac:dyDescent="0.25">
      <c r="C8" s="5" t="s">
        <v>8</v>
      </c>
      <c r="D8" s="5"/>
      <c r="E8" s="5">
        <v>300</v>
      </c>
      <c r="F8" s="36">
        <f>E8/E$5</f>
        <v>4.5454545454545456E-2</v>
      </c>
      <c r="G8" s="11">
        <f>E8/E$5</f>
        <v>4.5454545454545456E-2</v>
      </c>
    </row>
    <row r="9" spans="3:12" x14ac:dyDescent="0.25">
      <c r="C9" s="5" t="s">
        <v>9</v>
      </c>
      <c r="D9" s="5"/>
      <c r="E9" s="5">
        <v>18</v>
      </c>
      <c r="F9" s="36">
        <f t="shared" si="0"/>
        <v>2.7272727272727275E-3</v>
      </c>
      <c r="G9" s="11">
        <f t="shared" si="1"/>
        <v>2.7272727272727275E-3</v>
      </c>
    </row>
    <row r="10" spans="3:12" x14ac:dyDescent="0.25">
      <c r="C10" s="5" t="s">
        <v>10</v>
      </c>
      <c r="D10" s="5"/>
      <c r="E10" s="12">
        <v>400</v>
      </c>
      <c r="F10" s="36">
        <f t="shared" si="0"/>
        <v>6.0606060606060608E-2</v>
      </c>
      <c r="G10" s="11">
        <f t="shared" si="1"/>
        <v>6.0606060606060608E-2</v>
      </c>
    </row>
    <row r="11" spans="3:12" x14ac:dyDescent="0.25">
      <c r="C11" s="13" t="s">
        <v>11</v>
      </c>
      <c r="D11" s="13"/>
      <c r="E11" s="13">
        <v>100</v>
      </c>
      <c r="F11" s="36">
        <f t="shared" si="0"/>
        <v>1.5151515151515152E-2</v>
      </c>
      <c r="G11" s="14">
        <f t="shared" si="1"/>
        <v>1.5151515151515152E-2</v>
      </c>
    </row>
    <row r="12" spans="3:12" x14ac:dyDescent="0.25">
      <c r="C12" s="5" t="s">
        <v>12</v>
      </c>
      <c r="D12" s="5"/>
      <c r="E12" s="5">
        <v>50</v>
      </c>
      <c r="F12" s="36">
        <f t="shared" si="0"/>
        <v>7.575757575757576E-3</v>
      </c>
      <c r="G12" s="11">
        <f t="shared" si="1"/>
        <v>7.575757575757576E-3</v>
      </c>
    </row>
    <row r="13" spans="3:12" x14ac:dyDescent="0.25">
      <c r="C13" s="5" t="s">
        <v>13</v>
      </c>
      <c r="D13" s="5"/>
      <c r="E13" s="12">
        <v>150</v>
      </c>
      <c r="F13" s="36">
        <f t="shared" si="0"/>
        <v>2.2727272727272728E-2</v>
      </c>
      <c r="G13" s="11">
        <f t="shared" si="1"/>
        <v>2.2727272727272728E-2</v>
      </c>
    </row>
    <row r="14" spans="3:12" x14ac:dyDescent="0.25">
      <c r="C14" s="5" t="s">
        <v>105</v>
      </c>
      <c r="D14" s="5"/>
      <c r="E14" s="5">
        <f>115+'CALCULADORA COSTES'!B20</f>
        <v>565</v>
      </c>
      <c r="F14" s="36">
        <f t="shared" si="0"/>
        <v>8.5606060606060602E-2</v>
      </c>
      <c r="G14" s="11">
        <f t="shared" si="1"/>
        <v>8.5606060606060602E-2</v>
      </c>
    </row>
    <row r="15" spans="3:12" x14ac:dyDescent="0.25">
      <c r="C15" s="5" t="s">
        <v>15</v>
      </c>
      <c r="D15" s="5"/>
      <c r="E15" s="12">
        <v>25</v>
      </c>
      <c r="F15" s="36">
        <f t="shared" si="0"/>
        <v>3.787878787878788E-3</v>
      </c>
      <c r="G15" s="11">
        <f t="shared" si="1"/>
        <v>3.787878787878788E-3</v>
      </c>
    </row>
    <row r="16" spans="3:12" x14ac:dyDescent="0.25">
      <c r="C16" s="5" t="s">
        <v>16</v>
      </c>
      <c r="D16" s="5"/>
      <c r="E16" s="12">
        <v>18</v>
      </c>
      <c r="F16" s="36">
        <f t="shared" si="0"/>
        <v>2.7272727272727275E-3</v>
      </c>
      <c r="G16" s="11">
        <f t="shared" si="1"/>
        <v>2.7272727272727275E-3</v>
      </c>
    </row>
    <row r="17" spans="3:7" x14ac:dyDescent="0.25">
      <c r="C17" s="5" t="s">
        <v>17</v>
      </c>
      <c r="D17" s="5"/>
      <c r="E17" s="12">
        <v>125</v>
      </c>
      <c r="F17" s="36">
        <f t="shared" si="0"/>
        <v>1.893939393939394E-2</v>
      </c>
      <c r="G17" s="11">
        <f t="shared" si="1"/>
        <v>1.893939393939394E-2</v>
      </c>
    </row>
    <row r="18" spans="3:7" x14ac:dyDescent="0.25">
      <c r="C18" s="5" t="s">
        <v>106</v>
      </c>
      <c r="D18" s="5"/>
      <c r="E18" s="5">
        <f>'CALCULADORA COSTES'!C20</f>
        <v>200</v>
      </c>
      <c r="F18" s="36">
        <f t="shared" si="0"/>
        <v>3.0303030303030304E-2</v>
      </c>
      <c r="G18" s="11">
        <f t="shared" si="1"/>
        <v>3.0303030303030304E-2</v>
      </c>
    </row>
    <row r="19" spans="3:7" x14ac:dyDescent="0.25">
      <c r="C19" s="5" t="s">
        <v>107</v>
      </c>
      <c r="D19" s="5"/>
      <c r="E19" s="5">
        <v>25</v>
      </c>
      <c r="F19" s="36">
        <f t="shared" si="0"/>
        <v>3.787878787878788E-3</v>
      </c>
      <c r="G19" s="11">
        <f t="shared" si="1"/>
        <v>3.787878787878788E-3</v>
      </c>
    </row>
    <row r="20" spans="3:7" x14ac:dyDescent="0.25">
      <c r="C20" s="5" t="s">
        <v>108</v>
      </c>
      <c r="D20" s="5"/>
      <c r="E20" s="12">
        <v>18</v>
      </c>
      <c r="F20" s="36">
        <f t="shared" si="0"/>
        <v>2.7272727272727275E-3</v>
      </c>
      <c r="G20" s="11">
        <f t="shared" si="1"/>
        <v>2.7272727272727275E-3</v>
      </c>
    </row>
    <row r="21" spans="3:7" x14ac:dyDescent="0.25">
      <c r="C21" s="5" t="s">
        <v>109</v>
      </c>
      <c r="D21" s="5"/>
      <c r="E21" s="5">
        <v>50</v>
      </c>
      <c r="F21" s="36">
        <f t="shared" si="0"/>
        <v>7.575757575757576E-3</v>
      </c>
      <c r="G21" s="11">
        <f t="shared" si="1"/>
        <v>7.575757575757576E-3</v>
      </c>
    </row>
    <row r="22" spans="3:7" x14ac:dyDescent="0.25">
      <c r="C22" s="5" t="s">
        <v>110</v>
      </c>
      <c r="D22" s="5"/>
      <c r="E22" s="5">
        <f>'CALCULADORA COSTES'!B20</f>
        <v>450</v>
      </c>
      <c r="F22" s="36">
        <f t="shared" si="0"/>
        <v>6.8181818181818177E-2</v>
      </c>
      <c r="G22" s="11">
        <f t="shared" si="1"/>
        <v>6.8181818181818177E-2</v>
      </c>
    </row>
    <row r="23" spans="3:7" x14ac:dyDescent="0.25">
      <c r="C23" s="5" t="s">
        <v>15</v>
      </c>
      <c r="D23" s="5"/>
      <c r="E23" s="5">
        <v>25</v>
      </c>
      <c r="F23" s="36">
        <f t="shared" si="0"/>
        <v>3.787878787878788E-3</v>
      </c>
      <c r="G23" s="11">
        <f t="shared" si="1"/>
        <v>3.787878787878788E-3</v>
      </c>
    </row>
    <row r="24" spans="3:7" x14ac:dyDescent="0.25">
      <c r="C24" s="5" t="s">
        <v>16</v>
      </c>
      <c r="D24" s="5"/>
      <c r="E24" s="5">
        <v>18</v>
      </c>
      <c r="F24" s="36">
        <f t="shared" si="0"/>
        <v>2.7272727272727275E-3</v>
      </c>
      <c r="G24" s="11">
        <f t="shared" si="1"/>
        <v>2.7272727272727275E-3</v>
      </c>
    </row>
    <row r="25" spans="3:7" x14ac:dyDescent="0.25">
      <c r="C25" s="5" t="s">
        <v>17</v>
      </c>
      <c r="D25" s="5"/>
      <c r="E25" s="12">
        <v>125</v>
      </c>
      <c r="F25" s="36">
        <f t="shared" si="0"/>
        <v>1.893939393939394E-2</v>
      </c>
      <c r="G25" s="11">
        <f t="shared" si="1"/>
        <v>1.893939393939394E-2</v>
      </c>
    </row>
    <row r="26" spans="3:7" x14ac:dyDescent="0.25">
      <c r="C26" s="5" t="s">
        <v>111</v>
      </c>
      <c r="D26" s="5"/>
      <c r="E26" s="5">
        <v>170</v>
      </c>
      <c r="F26" s="36">
        <f t="shared" si="0"/>
        <v>2.5757575757575757E-2</v>
      </c>
      <c r="G26" s="11">
        <f t="shared" si="1"/>
        <v>2.5757575757575757E-2</v>
      </c>
    </row>
    <row r="27" spans="3:7" x14ac:dyDescent="0.25">
      <c r="C27" s="5" t="s">
        <v>112</v>
      </c>
      <c r="D27" s="5"/>
      <c r="E27" s="5">
        <v>15</v>
      </c>
      <c r="F27" s="36">
        <f t="shared" si="0"/>
        <v>2.2727272727272726E-3</v>
      </c>
      <c r="G27" s="11">
        <f t="shared" si="1"/>
        <v>2.2727272727272726E-3</v>
      </c>
    </row>
    <row r="28" spans="3:7" x14ac:dyDescent="0.25">
      <c r="C28" s="13" t="s">
        <v>45</v>
      </c>
      <c r="D28" s="13"/>
      <c r="E28" s="13"/>
      <c r="F28" s="36">
        <f t="shared" si="0"/>
        <v>0</v>
      </c>
      <c r="G28" s="15">
        <f t="shared" si="1"/>
        <v>0</v>
      </c>
    </row>
    <row r="29" spans="3:7" x14ac:dyDescent="0.25">
      <c r="C29" s="5" t="s">
        <v>28</v>
      </c>
      <c r="D29" s="5"/>
      <c r="E29" s="5"/>
      <c r="F29" s="36">
        <f t="shared" si="0"/>
        <v>0</v>
      </c>
      <c r="G29" s="11">
        <f t="shared" si="1"/>
        <v>0</v>
      </c>
    </row>
    <row r="30" spans="3:7" x14ac:dyDescent="0.25">
      <c r="C30" s="7" t="s">
        <v>29</v>
      </c>
      <c r="D30" s="7"/>
      <c r="E30" s="9">
        <f>SUM(E31:E37)</f>
        <v>6156.880000000001</v>
      </c>
      <c r="F30" s="38">
        <f>E30/E5</f>
        <v>0.93286060606060617</v>
      </c>
      <c r="G30" s="16">
        <f>SUM(G31:G37)</f>
        <v>0.93286060606060595</v>
      </c>
    </row>
    <row r="31" spans="3:7" x14ac:dyDescent="0.25">
      <c r="C31" s="5" t="s">
        <v>30</v>
      </c>
      <c r="D31" s="5">
        <f>'CALCULADORA COSTES'!B17*'CALCULADORA COSTES'!B16</f>
        <v>3048</v>
      </c>
      <c r="E31" s="5">
        <f>'H2'!E31</f>
        <v>3200.4</v>
      </c>
      <c r="F31" s="37">
        <f>E31/E5</f>
        <v>0.4849090909090909</v>
      </c>
      <c r="G31" s="17">
        <f>E31/E5</f>
        <v>0.4849090909090909</v>
      </c>
    </row>
    <row r="32" spans="3:7" x14ac:dyDescent="0.25">
      <c r="C32" s="5"/>
      <c r="D32" s="5"/>
      <c r="E32" s="5"/>
      <c r="F32" s="37">
        <f>E32/E5</f>
        <v>0</v>
      </c>
      <c r="G32" s="17">
        <f>E32/E5</f>
        <v>0</v>
      </c>
    </row>
    <row r="33" spans="3:7" x14ac:dyDescent="0.25">
      <c r="C33" s="13" t="s">
        <v>142</v>
      </c>
      <c r="D33" s="13">
        <f>'CALCULADORA COSTES'!B9*'CALCULADORA COSTES'!C9</f>
        <v>0.39200000000000002</v>
      </c>
      <c r="E33" s="18">
        <f>+D33*E5</f>
        <v>2587.2000000000003</v>
      </c>
      <c r="F33" s="37">
        <f>E33/E5</f>
        <v>0.39200000000000002</v>
      </c>
      <c r="G33" s="17">
        <f>E33/E5</f>
        <v>0.39200000000000002</v>
      </c>
    </row>
    <row r="34" spans="3:7" x14ac:dyDescent="0.25">
      <c r="C34" s="13" t="s">
        <v>46</v>
      </c>
      <c r="D34" s="43"/>
      <c r="E34" s="13">
        <f>'CALCULADORA COSTES'!F24*'CALCULADORA COSTES'!F25</f>
        <v>0</v>
      </c>
      <c r="F34" s="37">
        <f>E34/E5</f>
        <v>0</v>
      </c>
      <c r="G34" s="17">
        <f>E34/E5</f>
        <v>0</v>
      </c>
    </row>
    <row r="35" spans="3:7" x14ac:dyDescent="0.25">
      <c r="C35" s="5" t="s">
        <v>39</v>
      </c>
      <c r="D35" s="5">
        <v>1.0200000000000001E-2</v>
      </c>
      <c r="E35" s="12">
        <f>+D35*E5*2</f>
        <v>134.64000000000001</v>
      </c>
      <c r="F35" s="37">
        <f>E35/E5</f>
        <v>2.0400000000000001E-2</v>
      </c>
      <c r="G35" s="17">
        <f>E35/E5</f>
        <v>2.0400000000000001E-2</v>
      </c>
    </row>
    <row r="36" spans="3:7" x14ac:dyDescent="0.25">
      <c r="C36" s="5" t="s">
        <v>40</v>
      </c>
      <c r="D36" s="5">
        <v>1.0200000000000001E-2</v>
      </c>
      <c r="E36" s="12">
        <f>+D36*E5*2</f>
        <v>134.64000000000001</v>
      </c>
      <c r="F36" s="37">
        <f>E36/E5</f>
        <v>2.0400000000000001E-2</v>
      </c>
      <c r="G36" s="17">
        <f>E36/E5</f>
        <v>2.0400000000000001E-2</v>
      </c>
    </row>
    <row r="37" spans="3:7" x14ac:dyDescent="0.25">
      <c r="C37" s="5" t="s">
        <v>31</v>
      </c>
      <c r="D37" s="5"/>
      <c r="E37" s="12">
        <v>100</v>
      </c>
      <c r="F37" s="37">
        <f>E37/E5</f>
        <v>1.5151515151515152E-2</v>
      </c>
      <c r="G37" s="17">
        <f>E37/E5</f>
        <v>1.5151515151515152E-2</v>
      </c>
    </row>
    <row r="38" spans="3:7" x14ac:dyDescent="0.25">
      <c r="C38" s="19"/>
      <c r="D38" s="19"/>
      <c r="E38" s="19"/>
      <c r="F38" s="39"/>
      <c r="G38" s="20"/>
    </row>
    <row r="39" spans="3:7" ht="15.75" thickBot="1" x14ac:dyDescent="0.3">
      <c r="C39" s="19"/>
      <c r="D39" s="19"/>
      <c r="E39" s="19"/>
      <c r="F39" s="39"/>
      <c r="G39" s="20"/>
    </row>
    <row r="40" spans="3:7" ht="15.75" thickBot="1" x14ac:dyDescent="0.3">
      <c r="C40" s="21" t="s">
        <v>32</v>
      </c>
      <c r="D40" s="22"/>
      <c r="E40" s="23">
        <f>E30+E6</f>
        <v>11203.880000000001</v>
      </c>
      <c r="F40" s="40">
        <v>1</v>
      </c>
      <c r="G40" s="46">
        <f>SUM(G30+G6)</f>
        <v>1.6975575757575756</v>
      </c>
    </row>
    <row r="41" spans="3:7" x14ac:dyDescent="0.25">
      <c r="C41" s="19"/>
      <c r="D41" s="19"/>
      <c r="E41" s="19"/>
      <c r="F41" s="39">
        <v>0</v>
      </c>
      <c r="G41" s="24">
        <v>0</v>
      </c>
    </row>
    <row r="42" spans="3:7" x14ac:dyDescent="0.25">
      <c r="C42" s="5" t="s">
        <v>33</v>
      </c>
      <c r="D42" s="5"/>
      <c r="E42" s="5">
        <v>275</v>
      </c>
      <c r="F42" s="37">
        <f>E42/E5</f>
        <v>4.1666666666666664E-2</v>
      </c>
      <c r="G42" s="17">
        <f>E42/E5</f>
        <v>4.1666666666666664E-2</v>
      </c>
    </row>
    <row r="43" spans="3:7" x14ac:dyDescent="0.25">
      <c r="C43" s="5" t="s">
        <v>41</v>
      </c>
      <c r="D43" s="45">
        <v>0.04</v>
      </c>
      <c r="E43" s="12">
        <f>+E40*0.04</f>
        <v>448.15520000000004</v>
      </c>
      <c r="F43" s="37">
        <f>E43/E5</f>
        <v>6.7902303030303035E-2</v>
      </c>
      <c r="G43" s="17">
        <f>E43/E5</f>
        <v>6.7902303030303035E-2</v>
      </c>
    </row>
    <row r="44" spans="3:7" x14ac:dyDescent="0.25">
      <c r="C44" s="5" t="s">
        <v>34</v>
      </c>
      <c r="D44" s="5"/>
      <c r="E44" s="5"/>
      <c r="F44" s="35">
        <v>0</v>
      </c>
      <c r="G44" s="25">
        <v>0</v>
      </c>
    </row>
    <row r="45" spans="3:7" x14ac:dyDescent="0.25">
      <c r="C45" s="5" t="s">
        <v>35</v>
      </c>
      <c r="D45" s="5"/>
      <c r="E45" s="5"/>
      <c r="F45" s="35">
        <v>0</v>
      </c>
      <c r="G45" s="25">
        <v>0</v>
      </c>
    </row>
    <row r="46" spans="3:7" x14ac:dyDescent="0.25">
      <c r="C46" s="7" t="s">
        <v>36</v>
      </c>
      <c r="D46" s="7"/>
      <c r="E46" s="26">
        <f>E40+SUM(E42:E45)</f>
        <v>11927.0352</v>
      </c>
      <c r="F46" s="27">
        <v>1</v>
      </c>
      <c r="G46" s="47">
        <f>SUM(G40:G45)</f>
        <v>1.8071265454545453</v>
      </c>
    </row>
    <row r="47" spans="3:7" ht="15.75" thickBot="1" x14ac:dyDescent="0.3">
      <c r="C47" s="28" t="s">
        <v>37</v>
      </c>
      <c r="D47" s="28"/>
      <c r="E47" s="29"/>
      <c r="F47" s="41"/>
      <c r="G47" s="30"/>
    </row>
    <row r="48" spans="3:7" ht="15.75" thickBot="1" x14ac:dyDescent="0.3">
      <c r="C48" s="31" t="s">
        <v>38</v>
      </c>
      <c r="D48" s="22"/>
      <c r="E48" s="32">
        <f>G46+E47</f>
        <v>1.8071265454545453</v>
      </c>
      <c r="F48" s="42"/>
      <c r="G48" s="33"/>
    </row>
  </sheetData>
  <pageMargins left="0.7" right="0.7" top="0.75" bottom="0.75" header="0.3" footer="0.3"/>
  <headerFooter>
    <oddHeader>&amp;L&amp;"Aptos"&amp;8&amp;K0000FF [PRIVATE]&amp;1#_x000D_</oddHeader>
    <oddFooter>&amp;L_x000D_&amp;1#&amp;"Aptos"&amp;8&amp;K0000FF [PRIVATE]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A414-E06B-47D7-B7C3-0A67EBCD8E3C}">
  <dimension ref="C1:L48"/>
  <sheetViews>
    <sheetView workbookViewId="0">
      <selection activeCell="D32" sqref="D32"/>
    </sheetView>
  </sheetViews>
  <sheetFormatPr baseColWidth="10" defaultRowHeight="15" x14ac:dyDescent="0.25"/>
  <cols>
    <col min="2" max="2" width="11.42578125" customWidth="1"/>
    <col min="3" max="3" width="34.5703125" customWidth="1"/>
    <col min="4" max="4" width="21.42578125" customWidth="1"/>
    <col min="10" max="10" width="11.85546875" bestFit="1" customWidth="1"/>
    <col min="11" max="11" width="10.7109375" customWidth="1"/>
  </cols>
  <sheetData>
    <row r="1" spans="3:12" x14ac:dyDescent="0.25">
      <c r="J1" s="1"/>
      <c r="K1" s="2"/>
      <c r="L1" s="88"/>
    </row>
    <row r="2" spans="3:12" x14ac:dyDescent="0.25">
      <c r="C2" s="2"/>
      <c r="D2" s="2"/>
      <c r="E2" s="1" t="s">
        <v>0</v>
      </c>
      <c r="F2" s="34" t="s">
        <v>1</v>
      </c>
      <c r="G2" s="3" t="s">
        <v>2</v>
      </c>
      <c r="J2" s="2"/>
      <c r="K2" s="2"/>
      <c r="L2" s="1"/>
    </row>
    <row r="3" spans="3:12" x14ac:dyDescent="0.25">
      <c r="C3" s="5" t="s">
        <v>3</v>
      </c>
      <c r="D3" s="5"/>
      <c r="E3" s="5"/>
      <c r="F3" s="35"/>
      <c r="G3" s="6"/>
    </row>
    <row r="4" spans="3:12" x14ac:dyDescent="0.25">
      <c r="C4" s="5" t="s">
        <v>4</v>
      </c>
      <c r="D4" s="5"/>
      <c r="E4" s="5"/>
      <c r="F4" s="35"/>
      <c r="G4" s="6"/>
    </row>
    <row r="5" spans="3:12" x14ac:dyDescent="0.25">
      <c r="C5" s="7" t="s">
        <v>5</v>
      </c>
      <c r="D5" s="7"/>
      <c r="E5" s="7">
        <f>'CALCULADORA COSTES'!B14*'CALCULADORA COSTES'!B15</f>
        <v>6600</v>
      </c>
      <c r="F5" s="36"/>
      <c r="G5" s="8"/>
    </row>
    <row r="6" spans="3:12" x14ac:dyDescent="0.25">
      <c r="C6" s="7" t="s">
        <v>6</v>
      </c>
      <c r="D6" s="7"/>
      <c r="E6" s="9">
        <f>SUM(E7:E29)</f>
        <v>5047</v>
      </c>
      <c r="F6" s="36">
        <f>E6/E$5</f>
        <v>0.76469696969696965</v>
      </c>
      <c r="G6" s="10">
        <f>E6/E$5</f>
        <v>0.76469696969696965</v>
      </c>
    </row>
    <row r="7" spans="3:12" x14ac:dyDescent="0.25">
      <c r="C7" s="5" t="s">
        <v>7</v>
      </c>
      <c r="D7" s="5"/>
      <c r="E7" s="5">
        <f>'CALCULADORA COSTES'!E9</f>
        <v>2200</v>
      </c>
      <c r="F7" s="36">
        <f t="shared" ref="F7:F29" si="0">E7/E$5</f>
        <v>0.33333333333333331</v>
      </c>
      <c r="G7" s="11">
        <f t="shared" ref="G7:G29" si="1">E7/E$5</f>
        <v>0.33333333333333331</v>
      </c>
    </row>
    <row r="8" spans="3:12" x14ac:dyDescent="0.25">
      <c r="C8" s="5" t="s">
        <v>8</v>
      </c>
      <c r="D8" s="5"/>
      <c r="E8" s="5">
        <v>300</v>
      </c>
      <c r="F8" s="36">
        <f>E8/E$5</f>
        <v>4.5454545454545456E-2</v>
      </c>
      <c r="G8" s="11">
        <f>E8/E$5</f>
        <v>4.5454545454545456E-2</v>
      </c>
    </row>
    <row r="9" spans="3:12" x14ac:dyDescent="0.25">
      <c r="C9" s="5" t="s">
        <v>9</v>
      </c>
      <c r="D9" s="5"/>
      <c r="E9" s="5">
        <v>18</v>
      </c>
      <c r="F9" s="36">
        <f t="shared" si="0"/>
        <v>2.7272727272727275E-3</v>
      </c>
      <c r="G9" s="11">
        <f t="shared" si="1"/>
        <v>2.7272727272727275E-3</v>
      </c>
    </row>
    <row r="10" spans="3:12" x14ac:dyDescent="0.25">
      <c r="C10" s="5" t="s">
        <v>10</v>
      </c>
      <c r="D10" s="5"/>
      <c r="E10" s="12">
        <v>400</v>
      </c>
      <c r="F10" s="36">
        <f t="shared" si="0"/>
        <v>6.0606060606060608E-2</v>
      </c>
      <c r="G10" s="11">
        <f t="shared" si="1"/>
        <v>6.0606060606060608E-2</v>
      </c>
    </row>
    <row r="11" spans="3:12" x14ac:dyDescent="0.25">
      <c r="C11" s="13" t="s">
        <v>11</v>
      </c>
      <c r="D11" s="13"/>
      <c r="E11" s="13">
        <v>100</v>
      </c>
      <c r="F11" s="36">
        <f t="shared" si="0"/>
        <v>1.5151515151515152E-2</v>
      </c>
      <c r="G11" s="14">
        <f t="shared" si="1"/>
        <v>1.5151515151515152E-2</v>
      </c>
    </row>
    <row r="12" spans="3:12" x14ac:dyDescent="0.25">
      <c r="C12" s="5" t="s">
        <v>12</v>
      </c>
      <c r="D12" s="5"/>
      <c r="E12" s="5">
        <v>50</v>
      </c>
      <c r="F12" s="36">
        <f t="shared" si="0"/>
        <v>7.575757575757576E-3</v>
      </c>
      <c r="G12" s="11">
        <f t="shared" si="1"/>
        <v>7.575757575757576E-3</v>
      </c>
    </row>
    <row r="13" spans="3:12" x14ac:dyDescent="0.25">
      <c r="C13" s="5" t="s">
        <v>13</v>
      </c>
      <c r="D13" s="5"/>
      <c r="E13" s="12">
        <v>150</v>
      </c>
      <c r="F13" s="36">
        <f t="shared" si="0"/>
        <v>2.2727272727272728E-2</v>
      </c>
      <c r="G13" s="11">
        <f t="shared" si="1"/>
        <v>2.2727272727272728E-2</v>
      </c>
    </row>
    <row r="14" spans="3:12" x14ac:dyDescent="0.25">
      <c r="C14" s="5" t="s">
        <v>105</v>
      </c>
      <c r="D14" s="5"/>
      <c r="E14" s="5">
        <f>'DUOTRAILER GASOIL'!E14</f>
        <v>565</v>
      </c>
      <c r="F14" s="36">
        <f t="shared" si="0"/>
        <v>8.5606060606060602E-2</v>
      </c>
      <c r="G14" s="11">
        <f t="shared" si="1"/>
        <v>8.5606060606060602E-2</v>
      </c>
    </row>
    <row r="15" spans="3:12" x14ac:dyDescent="0.25">
      <c r="C15" s="5" t="s">
        <v>15</v>
      </c>
      <c r="D15" s="5"/>
      <c r="E15" s="12">
        <v>25</v>
      </c>
      <c r="F15" s="36">
        <f t="shared" si="0"/>
        <v>3.787878787878788E-3</v>
      </c>
      <c r="G15" s="11">
        <f t="shared" si="1"/>
        <v>3.787878787878788E-3</v>
      </c>
    </row>
    <row r="16" spans="3:12" x14ac:dyDescent="0.25">
      <c r="C16" s="5" t="s">
        <v>16</v>
      </c>
      <c r="D16" s="5"/>
      <c r="E16" s="12">
        <v>18</v>
      </c>
      <c r="F16" s="36">
        <f t="shared" si="0"/>
        <v>2.7272727272727275E-3</v>
      </c>
      <c r="G16" s="11">
        <f t="shared" si="1"/>
        <v>2.7272727272727275E-3</v>
      </c>
    </row>
    <row r="17" spans="3:7" x14ac:dyDescent="0.25">
      <c r="C17" s="5" t="s">
        <v>17</v>
      </c>
      <c r="D17" s="5"/>
      <c r="E17" s="12">
        <v>125</v>
      </c>
      <c r="F17" s="36">
        <f t="shared" si="0"/>
        <v>1.893939393939394E-2</v>
      </c>
      <c r="G17" s="11">
        <f t="shared" si="1"/>
        <v>1.893939393939394E-2</v>
      </c>
    </row>
    <row r="18" spans="3:7" x14ac:dyDescent="0.25">
      <c r="C18" s="5" t="s">
        <v>106</v>
      </c>
      <c r="D18" s="5"/>
      <c r="E18" s="5">
        <f>'DUOTRAILER GASOIL'!E18</f>
        <v>200</v>
      </c>
      <c r="F18" s="36">
        <f t="shared" si="0"/>
        <v>3.0303030303030304E-2</v>
      </c>
      <c r="G18" s="11">
        <f t="shared" si="1"/>
        <v>3.0303030303030304E-2</v>
      </c>
    </row>
    <row r="19" spans="3:7" x14ac:dyDescent="0.25">
      <c r="C19" s="5" t="s">
        <v>107</v>
      </c>
      <c r="D19" s="5"/>
      <c r="E19" s="5">
        <v>25</v>
      </c>
      <c r="F19" s="36">
        <f t="shared" si="0"/>
        <v>3.787878787878788E-3</v>
      </c>
      <c r="G19" s="11">
        <f t="shared" si="1"/>
        <v>3.787878787878788E-3</v>
      </c>
    </row>
    <row r="20" spans="3:7" x14ac:dyDescent="0.25">
      <c r="C20" s="5" t="s">
        <v>108</v>
      </c>
      <c r="D20" s="5"/>
      <c r="E20" s="12">
        <v>18</v>
      </c>
      <c r="F20" s="36">
        <f t="shared" si="0"/>
        <v>2.7272727272727275E-3</v>
      </c>
      <c r="G20" s="11">
        <f t="shared" si="1"/>
        <v>2.7272727272727275E-3</v>
      </c>
    </row>
    <row r="21" spans="3:7" x14ac:dyDescent="0.25">
      <c r="C21" s="5" t="s">
        <v>109</v>
      </c>
      <c r="D21" s="5"/>
      <c r="E21" s="5">
        <v>50</v>
      </c>
      <c r="F21" s="36">
        <f t="shared" si="0"/>
        <v>7.575757575757576E-3</v>
      </c>
      <c r="G21" s="11">
        <f t="shared" si="1"/>
        <v>7.575757575757576E-3</v>
      </c>
    </row>
    <row r="22" spans="3:7" x14ac:dyDescent="0.25">
      <c r="C22" s="5" t="s">
        <v>110</v>
      </c>
      <c r="D22" s="5"/>
      <c r="E22" s="5">
        <f>'DUOTRAILER GASOIL'!E22</f>
        <v>450</v>
      </c>
      <c r="F22" s="36">
        <f t="shared" si="0"/>
        <v>6.8181818181818177E-2</v>
      </c>
      <c r="G22" s="11">
        <f t="shared" si="1"/>
        <v>6.8181818181818177E-2</v>
      </c>
    </row>
    <row r="23" spans="3:7" x14ac:dyDescent="0.25">
      <c r="C23" s="5" t="s">
        <v>15</v>
      </c>
      <c r="D23" s="5"/>
      <c r="E23" s="5">
        <v>25</v>
      </c>
      <c r="F23" s="36">
        <f t="shared" si="0"/>
        <v>3.787878787878788E-3</v>
      </c>
      <c r="G23" s="11">
        <f t="shared" si="1"/>
        <v>3.787878787878788E-3</v>
      </c>
    </row>
    <row r="24" spans="3:7" x14ac:dyDescent="0.25">
      <c r="C24" s="5" t="s">
        <v>16</v>
      </c>
      <c r="D24" s="5"/>
      <c r="E24" s="5">
        <v>18</v>
      </c>
      <c r="F24" s="36">
        <f t="shared" si="0"/>
        <v>2.7272727272727275E-3</v>
      </c>
      <c r="G24" s="11">
        <f t="shared" si="1"/>
        <v>2.7272727272727275E-3</v>
      </c>
    </row>
    <row r="25" spans="3:7" x14ac:dyDescent="0.25">
      <c r="C25" s="5" t="s">
        <v>17</v>
      </c>
      <c r="D25" s="5"/>
      <c r="E25" s="12">
        <v>125</v>
      </c>
      <c r="F25" s="36">
        <f t="shared" si="0"/>
        <v>1.893939393939394E-2</v>
      </c>
      <c r="G25" s="11">
        <f t="shared" si="1"/>
        <v>1.893939393939394E-2</v>
      </c>
    </row>
    <row r="26" spans="3:7" x14ac:dyDescent="0.25">
      <c r="C26" s="5" t="s">
        <v>111</v>
      </c>
      <c r="D26" s="5"/>
      <c r="E26" s="5">
        <v>170</v>
      </c>
      <c r="F26" s="36">
        <f t="shared" si="0"/>
        <v>2.5757575757575757E-2</v>
      </c>
      <c r="G26" s="11">
        <f t="shared" si="1"/>
        <v>2.5757575757575757E-2</v>
      </c>
    </row>
    <row r="27" spans="3:7" x14ac:dyDescent="0.25">
      <c r="C27" s="5" t="s">
        <v>112</v>
      </c>
      <c r="D27" s="5"/>
      <c r="E27" s="5">
        <v>15</v>
      </c>
      <c r="F27" s="36">
        <f t="shared" si="0"/>
        <v>2.2727272727272726E-3</v>
      </c>
      <c r="G27" s="11">
        <f t="shared" si="1"/>
        <v>2.2727272727272726E-3</v>
      </c>
    </row>
    <row r="28" spans="3:7" x14ac:dyDescent="0.25">
      <c r="C28" s="13" t="s">
        <v>45</v>
      </c>
      <c r="D28" s="13"/>
      <c r="E28" s="13"/>
      <c r="F28" s="36">
        <f t="shared" si="0"/>
        <v>0</v>
      </c>
      <c r="G28" s="15">
        <f t="shared" si="1"/>
        <v>0</v>
      </c>
    </row>
    <row r="29" spans="3:7" x14ac:dyDescent="0.25">
      <c r="C29" s="5" t="s">
        <v>28</v>
      </c>
      <c r="D29" s="5"/>
      <c r="E29" s="5"/>
      <c r="F29" s="36">
        <f t="shared" si="0"/>
        <v>0</v>
      </c>
      <c r="G29" s="11">
        <f t="shared" si="1"/>
        <v>0</v>
      </c>
    </row>
    <row r="30" spans="3:7" x14ac:dyDescent="0.25">
      <c r="C30" s="7" t="s">
        <v>29</v>
      </c>
      <c r="D30" s="7"/>
      <c r="E30" s="9">
        <f>SUM(E31:E37)</f>
        <v>7222.7800000000007</v>
      </c>
      <c r="F30" s="38">
        <f>E30/E5</f>
        <v>1.0943606060606061</v>
      </c>
      <c r="G30" s="16">
        <f>SUM(G31:G37)</f>
        <v>1.0943606060606059</v>
      </c>
    </row>
    <row r="31" spans="3:7" x14ac:dyDescent="0.25">
      <c r="C31" s="5" t="s">
        <v>30</v>
      </c>
      <c r="D31" s="5">
        <f>'CALCULADORA COSTES'!B17*'CALCULADORA COSTES'!B16</f>
        <v>3048</v>
      </c>
      <c r="E31" s="5">
        <f>'H2'!E31</f>
        <v>3200.4</v>
      </c>
      <c r="F31" s="37">
        <f>E31/E5</f>
        <v>0.4849090909090909</v>
      </c>
      <c r="G31" s="17">
        <f>E31/E5</f>
        <v>0.4849090909090909</v>
      </c>
    </row>
    <row r="32" spans="3:7" x14ac:dyDescent="0.25">
      <c r="C32" s="5"/>
      <c r="D32" s="5"/>
      <c r="E32" s="5"/>
      <c r="F32" s="37">
        <f>E32/E5</f>
        <v>0</v>
      </c>
      <c r="G32" s="17">
        <f>E32/E5</f>
        <v>0</v>
      </c>
    </row>
    <row r="33" spans="3:7" x14ac:dyDescent="0.25">
      <c r="C33" s="13" t="s">
        <v>142</v>
      </c>
      <c r="D33" s="13">
        <f>'CALCULADORA COSTES'!D11</f>
        <v>0.55349999999999999</v>
      </c>
      <c r="E33" s="18">
        <f>+D33*E5</f>
        <v>3653.1</v>
      </c>
      <c r="F33" s="37">
        <f>E33/E5</f>
        <v>0.55349999999999999</v>
      </c>
      <c r="G33" s="17">
        <f>E33/E5</f>
        <v>0.55349999999999999</v>
      </c>
    </row>
    <row r="34" spans="3:7" x14ac:dyDescent="0.25">
      <c r="C34" s="13" t="s">
        <v>46</v>
      </c>
      <c r="D34" s="43"/>
      <c r="E34" s="13">
        <f>'CALCULADORA COSTES'!F24*'CALCULADORA COSTES'!F25</f>
        <v>0</v>
      </c>
      <c r="F34" s="37">
        <f>E34/E5</f>
        <v>0</v>
      </c>
      <c r="G34" s="17">
        <f>E34/E5</f>
        <v>0</v>
      </c>
    </row>
    <row r="35" spans="3:7" x14ac:dyDescent="0.25">
      <c r="C35" s="5" t="s">
        <v>39</v>
      </c>
      <c r="D35" s="5">
        <v>1.0200000000000001E-2</v>
      </c>
      <c r="E35" s="12">
        <f>+D35*E5*2</f>
        <v>134.64000000000001</v>
      </c>
      <c r="F35" s="37">
        <f>E35/E5</f>
        <v>2.0400000000000001E-2</v>
      </c>
      <c r="G35" s="17">
        <f>E35/E5</f>
        <v>2.0400000000000001E-2</v>
      </c>
    </row>
    <row r="36" spans="3:7" x14ac:dyDescent="0.25">
      <c r="C36" s="5" t="s">
        <v>40</v>
      </c>
      <c r="D36" s="5">
        <v>1.0200000000000001E-2</v>
      </c>
      <c r="E36" s="12">
        <f>+D36*E5*2</f>
        <v>134.64000000000001</v>
      </c>
      <c r="F36" s="37">
        <f>E36/E5</f>
        <v>2.0400000000000001E-2</v>
      </c>
      <c r="G36" s="17">
        <f>E36/E5</f>
        <v>2.0400000000000001E-2</v>
      </c>
    </row>
    <row r="37" spans="3:7" x14ac:dyDescent="0.25">
      <c r="C37" s="5" t="s">
        <v>31</v>
      </c>
      <c r="D37" s="5"/>
      <c r="E37" s="12">
        <v>100</v>
      </c>
      <c r="F37" s="37">
        <f>E37/E5</f>
        <v>1.5151515151515152E-2</v>
      </c>
      <c r="G37" s="17">
        <f>E37/E5</f>
        <v>1.5151515151515152E-2</v>
      </c>
    </row>
    <row r="38" spans="3:7" x14ac:dyDescent="0.25">
      <c r="C38" s="19"/>
      <c r="D38" s="19"/>
      <c r="E38" s="19"/>
      <c r="F38" s="39"/>
      <c r="G38" s="20"/>
    </row>
    <row r="39" spans="3:7" ht="15.75" thickBot="1" x14ac:dyDescent="0.3">
      <c r="C39" s="19"/>
      <c r="D39" s="19"/>
      <c r="E39" s="19"/>
      <c r="F39" s="39"/>
      <c r="G39" s="20"/>
    </row>
    <row r="40" spans="3:7" ht="15.75" thickBot="1" x14ac:dyDescent="0.3">
      <c r="C40" s="21" t="s">
        <v>32</v>
      </c>
      <c r="D40" s="22"/>
      <c r="E40" s="23">
        <f>E30+E6</f>
        <v>12269.78</v>
      </c>
      <c r="F40" s="40">
        <v>1</v>
      </c>
      <c r="G40" s="46">
        <f>SUM(G30+G6)</f>
        <v>1.8590575757575756</v>
      </c>
    </row>
    <row r="41" spans="3:7" x14ac:dyDescent="0.25">
      <c r="C41" s="19"/>
      <c r="D41" s="19"/>
      <c r="E41" s="19"/>
      <c r="F41" s="39">
        <v>0</v>
      </c>
      <c r="G41" s="24">
        <v>0</v>
      </c>
    </row>
    <row r="42" spans="3:7" x14ac:dyDescent="0.25">
      <c r="C42" s="5" t="s">
        <v>33</v>
      </c>
      <c r="D42" s="5"/>
      <c r="E42" s="5">
        <v>275</v>
      </c>
      <c r="F42" s="37">
        <f>E42/E5</f>
        <v>4.1666666666666664E-2</v>
      </c>
      <c r="G42" s="17">
        <f>E42/E5</f>
        <v>4.1666666666666664E-2</v>
      </c>
    </row>
    <row r="43" spans="3:7" x14ac:dyDescent="0.25">
      <c r="C43" s="5" t="s">
        <v>41</v>
      </c>
      <c r="D43" s="45">
        <v>0.04</v>
      </c>
      <c r="E43" s="12">
        <f>+E40*0.04</f>
        <v>490.79120000000006</v>
      </c>
      <c r="F43" s="37">
        <f>E43/E5</f>
        <v>7.4362303030303042E-2</v>
      </c>
      <c r="G43" s="17">
        <f>E43/E5</f>
        <v>7.4362303030303042E-2</v>
      </c>
    </row>
    <row r="44" spans="3:7" x14ac:dyDescent="0.25">
      <c r="C44" s="5" t="s">
        <v>34</v>
      </c>
      <c r="D44" s="5"/>
      <c r="E44" s="5"/>
      <c r="F44" s="35">
        <v>0</v>
      </c>
      <c r="G44" s="25">
        <v>0</v>
      </c>
    </row>
    <row r="45" spans="3:7" x14ac:dyDescent="0.25">
      <c r="C45" s="5" t="s">
        <v>35</v>
      </c>
      <c r="D45" s="5"/>
      <c r="E45" s="5"/>
      <c r="F45" s="35">
        <v>0</v>
      </c>
      <c r="G45" s="25">
        <v>0</v>
      </c>
    </row>
    <row r="46" spans="3:7" x14ac:dyDescent="0.25">
      <c r="C46" s="7" t="s">
        <v>36</v>
      </c>
      <c r="D46" s="7"/>
      <c r="E46" s="26">
        <f>E40+SUM(E42:E45)</f>
        <v>13035.5712</v>
      </c>
      <c r="F46" s="27">
        <v>1</v>
      </c>
      <c r="G46" s="47">
        <f>SUM(G40:G45)</f>
        <v>1.9750865454545454</v>
      </c>
    </row>
    <row r="47" spans="3:7" ht="15.75" thickBot="1" x14ac:dyDescent="0.3">
      <c r="C47" s="28" t="s">
        <v>37</v>
      </c>
      <c r="D47" s="28"/>
      <c r="E47" s="29"/>
      <c r="F47" s="41"/>
      <c r="G47" s="30"/>
    </row>
    <row r="48" spans="3:7" ht="15.75" thickBot="1" x14ac:dyDescent="0.3">
      <c r="C48" s="31" t="s">
        <v>38</v>
      </c>
      <c r="D48" s="22"/>
      <c r="E48" s="32">
        <f>G46+E47</f>
        <v>1.9750865454545454</v>
      </c>
      <c r="F48" s="42"/>
      <c r="G48" s="33"/>
    </row>
  </sheetData>
  <pageMargins left="0.7" right="0.7" top="0.75" bottom="0.75" header="0.3" footer="0.3"/>
  <headerFooter>
    <oddHeader>&amp;L&amp;"Aptos"&amp;8&amp;K0000FF [PRIVATE]&amp;1#_x000D_</oddHeader>
    <oddFooter>&amp;L_x000D_&amp;1#&amp;"Aptos"&amp;8&amp;K0000FF [PRIVATE]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CB28-CF92-4DE1-A01D-532D9A2A93CD}">
  <dimension ref="C1:L48"/>
  <sheetViews>
    <sheetView topLeftCell="A13" workbookViewId="0">
      <selection activeCell="E31" sqref="E31"/>
    </sheetView>
  </sheetViews>
  <sheetFormatPr baseColWidth="10" defaultRowHeight="15" x14ac:dyDescent="0.25"/>
  <cols>
    <col min="2" max="3" width="11.42578125" customWidth="1"/>
    <col min="4" max="4" width="21.42578125" customWidth="1"/>
    <col min="10" max="10" width="11.85546875" bestFit="1" customWidth="1"/>
    <col min="11" max="11" width="10.7109375" customWidth="1"/>
  </cols>
  <sheetData>
    <row r="1" spans="3:12" x14ac:dyDescent="0.25">
      <c r="J1" s="1"/>
      <c r="K1" s="2"/>
      <c r="L1" s="88"/>
    </row>
    <row r="2" spans="3:12" x14ac:dyDescent="0.25">
      <c r="C2" s="2"/>
      <c r="D2" s="2"/>
      <c r="E2" s="1" t="s">
        <v>0</v>
      </c>
      <c r="F2" s="34" t="s">
        <v>1</v>
      </c>
      <c r="G2" s="3" t="s">
        <v>2</v>
      </c>
      <c r="J2" s="2"/>
      <c r="K2" s="2"/>
      <c r="L2" s="1"/>
    </row>
    <row r="3" spans="3:12" x14ac:dyDescent="0.25">
      <c r="C3" s="5" t="s">
        <v>3</v>
      </c>
      <c r="D3" s="5"/>
      <c r="E3" s="5"/>
      <c r="F3" s="35"/>
      <c r="G3" s="6"/>
    </row>
    <row r="4" spans="3:12" x14ac:dyDescent="0.25">
      <c r="C4" s="5" t="s">
        <v>4</v>
      </c>
      <c r="D4" s="5"/>
      <c r="E4" s="5"/>
      <c r="F4" s="35"/>
      <c r="G4" s="6"/>
    </row>
    <row r="5" spans="3:12" x14ac:dyDescent="0.25">
      <c r="C5" s="7" t="s">
        <v>5</v>
      </c>
      <c r="D5" s="7"/>
      <c r="E5" s="7">
        <f>'CALCULADORA COSTES'!B14*'CALCULADORA COSTES'!B15</f>
        <v>6600</v>
      </c>
      <c r="F5" s="36"/>
      <c r="G5" s="8"/>
    </row>
    <row r="6" spans="3:12" x14ac:dyDescent="0.25">
      <c r="C6" s="7" t="s">
        <v>6</v>
      </c>
      <c r="D6" s="7"/>
      <c r="E6" s="9">
        <f>SUM(E7:E29)</f>
        <v>9047</v>
      </c>
      <c r="F6" s="36">
        <f>E6/E$5</f>
        <v>1.3707575757575758</v>
      </c>
      <c r="G6" s="10">
        <f>E6/E$5</f>
        <v>1.3707575757575758</v>
      </c>
    </row>
    <row r="7" spans="3:12" x14ac:dyDescent="0.25">
      <c r="C7" s="5" t="s">
        <v>7</v>
      </c>
      <c r="D7" s="5"/>
      <c r="E7" s="5">
        <f>'CALCULADORA COSTES'!E8</f>
        <v>6200</v>
      </c>
      <c r="F7" s="36">
        <f t="shared" ref="F7:F29" si="0">E7/E$5</f>
        <v>0.93939393939393945</v>
      </c>
      <c r="G7" s="11">
        <f>E7/E$5</f>
        <v>0.93939393939393945</v>
      </c>
    </row>
    <row r="8" spans="3:12" x14ac:dyDescent="0.25">
      <c r="C8" s="5" t="s">
        <v>8</v>
      </c>
      <c r="D8" s="5"/>
      <c r="E8" s="5">
        <v>300</v>
      </c>
      <c r="F8" s="36">
        <f>E8/E$5</f>
        <v>4.5454545454545456E-2</v>
      </c>
      <c r="G8" s="11">
        <f>E8/E$5</f>
        <v>4.5454545454545456E-2</v>
      </c>
    </row>
    <row r="9" spans="3:12" x14ac:dyDescent="0.25">
      <c r="C9" s="5" t="s">
        <v>9</v>
      </c>
      <c r="D9" s="5"/>
      <c r="E9" s="5">
        <v>18</v>
      </c>
      <c r="F9" s="36">
        <f t="shared" si="0"/>
        <v>2.7272727272727275E-3</v>
      </c>
      <c r="G9" s="11">
        <f t="shared" ref="G9:G29" si="1">E9/E$5</f>
        <v>2.7272727272727275E-3</v>
      </c>
    </row>
    <row r="10" spans="3:12" x14ac:dyDescent="0.25">
      <c r="C10" s="5" t="s">
        <v>10</v>
      </c>
      <c r="D10" s="5"/>
      <c r="E10" s="12">
        <v>400</v>
      </c>
      <c r="F10" s="36">
        <f t="shared" si="0"/>
        <v>6.0606060606060608E-2</v>
      </c>
      <c r="G10" s="11">
        <f t="shared" si="1"/>
        <v>6.0606060606060608E-2</v>
      </c>
    </row>
    <row r="11" spans="3:12" x14ac:dyDescent="0.25">
      <c r="C11" s="13" t="s">
        <v>11</v>
      </c>
      <c r="D11" s="13"/>
      <c r="E11" s="13">
        <v>100</v>
      </c>
      <c r="F11" s="36">
        <f t="shared" si="0"/>
        <v>1.5151515151515152E-2</v>
      </c>
      <c r="G11" s="14">
        <f t="shared" si="1"/>
        <v>1.5151515151515152E-2</v>
      </c>
    </row>
    <row r="12" spans="3:12" x14ac:dyDescent="0.25">
      <c r="C12" s="5" t="s">
        <v>12</v>
      </c>
      <c r="D12" s="5"/>
      <c r="E12" s="5">
        <v>50</v>
      </c>
      <c r="F12" s="36">
        <f t="shared" si="0"/>
        <v>7.575757575757576E-3</v>
      </c>
      <c r="G12" s="11">
        <f t="shared" si="1"/>
        <v>7.575757575757576E-3</v>
      </c>
    </row>
    <row r="13" spans="3:12" x14ac:dyDescent="0.25">
      <c r="C13" s="5" t="s">
        <v>13</v>
      </c>
      <c r="D13" s="5"/>
      <c r="E13" s="12">
        <v>150</v>
      </c>
      <c r="F13" s="36">
        <f t="shared" si="0"/>
        <v>2.2727272727272728E-2</v>
      </c>
      <c r="G13" s="11">
        <f t="shared" si="1"/>
        <v>2.2727272727272728E-2</v>
      </c>
    </row>
    <row r="14" spans="3:12" x14ac:dyDescent="0.25">
      <c r="C14" s="5" t="s">
        <v>105</v>
      </c>
      <c r="D14" s="5"/>
      <c r="E14" s="5">
        <f>'DUOTRAILER GASOIL'!E14</f>
        <v>565</v>
      </c>
      <c r="F14" s="36">
        <f t="shared" si="0"/>
        <v>8.5606060606060602E-2</v>
      </c>
      <c r="G14" s="11">
        <f t="shared" si="1"/>
        <v>8.5606060606060602E-2</v>
      </c>
    </row>
    <row r="15" spans="3:12" x14ac:dyDescent="0.25">
      <c r="C15" s="5" t="s">
        <v>15</v>
      </c>
      <c r="D15" s="5"/>
      <c r="E15" s="12">
        <v>25</v>
      </c>
      <c r="F15" s="36">
        <f t="shared" si="0"/>
        <v>3.787878787878788E-3</v>
      </c>
      <c r="G15" s="11">
        <f t="shared" si="1"/>
        <v>3.787878787878788E-3</v>
      </c>
    </row>
    <row r="16" spans="3:12" x14ac:dyDescent="0.25">
      <c r="C16" s="5" t="s">
        <v>16</v>
      </c>
      <c r="D16" s="5"/>
      <c r="E16" s="12">
        <v>18</v>
      </c>
      <c r="F16" s="36">
        <f t="shared" si="0"/>
        <v>2.7272727272727275E-3</v>
      </c>
      <c r="G16" s="11">
        <f t="shared" si="1"/>
        <v>2.7272727272727275E-3</v>
      </c>
    </row>
    <row r="17" spans="3:7" x14ac:dyDescent="0.25">
      <c r="C17" s="5" t="s">
        <v>17</v>
      </c>
      <c r="D17" s="5"/>
      <c r="E17" s="12">
        <v>125</v>
      </c>
      <c r="F17" s="36">
        <f t="shared" si="0"/>
        <v>1.893939393939394E-2</v>
      </c>
      <c r="G17" s="11">
        <f t="shared" si="1"/>
        <v>1.893939393939394E-2</v>
      </c>
    </row>
    <row r="18" spans="3:7" x14ac:dyDescent="0.25">
      <c r="C18" s="5" t="s">
        <v>106</v>
      </c>
      <c r="D18" s="5"/>
      <c r="E18" s="5">
        <f>'DUOTRAILER GASOIL'!E18</f>
        <v>200</v>
      </c>
      <c r="F18" s="36">
        <f t="shared" si="0"/>
        <v>3.0303030303030304E-2</v>
      </c>
      <c r="G18" s="11">
        <f t="shared" si="1"/>
        <v>3.0303030303030304E-2</v>
      </c>
    </row>
    <row r="19" spans="3:7" x14ac:dyDescent="0.25">
      <c r="C19" s="5" t="s">
        <v>107</v>
      </c>
      <c r="D19" s="5"/>
      <c r="E19" s="5">
        <v>25</v>
      </c>
      <c r="F19" s="36">
        <f t="shared" si="0"/>
        <v>3.787878787878788E-3</v>
      </c>
      <c r="G19" s="11">
        <f t="shared" si="1"/>
        <v>3.787878787878788E-3</v>
      </c>
    </row>
    <row r="20" spans="3:7" x14ac:dyDescent="0.25">
      <c r="C20" s="5" t="s">
        <v>108</v>
      </c>
      <c r="D20" s="5"/>
      <c r="E20" s="12">
        <v>18</v>
      </c>
      <c r="F20" s="36">
        <f t="shared" si="0"/>
        <v>2.7272727272727275E-3</v>
      </c>
      <c r="G20" s="11">
        <f t="shared" si="1"/>
        <v>2.7272727272727275E-3</v>
      </c>
    </row>
    <row r="21" spans="3:7" x14ac:dyDescent="0.25">
      <c r="C21" s="5" t="s">
        <v>109</v>
      </c>
      <c r="D21" s="5"/>
      <c r="E21" s="5">
        <v>50</v>
      </c>
      <c r="F21" s="36">
        <f t="shared" si="0"/>
        <v>7.575757575757576E-3</v>
      </c>
      <c r="G21" s="11">
        <f t="shared" si="1"/>
        <v>7.575757575757576E-3</v>
      </c>
    </row>
    <row r="22" spans="3:7" x14ac:dyDescent="0.25">
      <c r="C22" s="5" t="s">
        <v>110</v>
      </c>
      <c r="D22" s="5"/>
      <c r="E22" s="5">
        <f>'DUOTRAILER GASOIL'!E22</f>
        <v>450</v>
      </c>
      <c r="F22" s="36">
        <f t="shared" si="0"/>
        <v>6.8181818181818177E-2</v>
      </c>
      <c r="G22" s="11">
        <f t="shared" si="1"/>
        <v>6.8181818181818177E-2</v>
      </c>
    </row>
    <row r="23" spans="3:7" x14ac:dyDescent="0.25">
      <c r="C23" s="5" t="s">
        <v>15</v>
      </c>
      <c r="D23" s="5"/>
      <c r="E23" s="5">
        <v>25</v>
      </c>
      <c r="F23" s="36">
        <f t="shared" si="0"/>
        <v>3.787878787878788E-3</v>
      </c>
      <c r="G23" s="11">
        <f t="shared" si="1"/>
        <v>3.787878787878788E-3</v>
      </c>
    </row>
    <row r="24" spans="3:7" x14ac:dyDescent="0.25">
      <c r="C24" s="5" t="s">
        <v>16</v>
      </c>
      <c r="D24" s="5"/>
      <c r="E24" s="5">
        <v>18</v>
      </c>
      <c r="F24" s="36">
        <f t="shared" si="0"/>
        <v>2.7272727272727275E-3</v>
      </c>
      <c r="G24" s="11">
        <f t="shared" si="1"/>
        <v>2.7272727272727275E-3</v>
      </c>
    </row>
    <row r="25" spans="3:7" x14ac:dyDescent="0.25">
      <c r="C25" s="5" t="s">
        <v>17</v>
      </c>
      <c r="D25" s="5"/>
      <c r="E25" s="12">
        <v>125</v>
      </c>
      <c r="F25" s="36">
        <f t="shared" si="0"/>
        <v>1.893939393939394E-2</v>
      </c>
      <c r="G25" s="11">
        <f t="shared" si="1"/>
        <v>1.893939393939394E-2</v>
      </c>
    </row>
    <row r="26" spans="3:7" x14ac:dyDescent="0.25">
      <c r="C26" s="5" t="s">
        <v>111</v>
      </c>
      <c r="D26" s="5"/>
      <c r="E26" s="5">
        <v>170</v>
      </c>
      <c r="F26" s="36">
        <f t="shared" si="0"/>
        <v>2.5757575757575757E-2</v>
      </c>
      <c r="G26" s="11">
        <f t="shared" si="1"/>
        <v>2.5757575757575757E-2</v>
      </c>
    </row>
    <row r="27" spans="3:7" x14ac:dyDescent="0.25">
      <c r="C27" s="5" t="s">
        <v>112</v>
      </c>
      <c r="D27" s="5"/>
      <c r="E27" s="5">
        <v>15</v>
      </c>
      <c r="F27" s="36">
        <f t="shared" si="0"/>
        <v>2.2727272727272726E-3</v>
      </c>
      <c r="G27" s="11">
        <f t="shared" si="1"/>
        <v>2.2727272727272726E-3</v>
      </c>
    </row>
    <row r="28" spans="3:7" x14ac:dyDescent="0.25">
      <c r="C28" s="13" t="s">
        <v>45</v>
      </c>
      <c r="D28" s="13"/>
      <c r="E28" s="13"/>
      <c r="F28" s="36">
        <f t="shared" si="0"/>
        <v>0</v>
      </c>
      <c r="G28" s="15">
        <f t="shared" si="1"/>
        <v>0</v>
      </c>
    </row>
    <row r="29" spans="3:7" x14ac:dyDescent="0.25">
      <c r="C29" s="5" t="s">
        <v>28</v>
      </c>
      <c r="D29" s="5"/>
      <c r="E29" s="5"/>
      <c r="F29" s="36">
        <f t="shared" si="0"/>
        <v>0</v>
      </c>
      <c r="G29" s="11">
        <f t="shared" si="1"/>
        <v>0</v>
      </c>
    </row>
    <row r="30" spans="3:7" x14ac:dyDescent="0.25">
      <c r="C30" s="7" t="s">
        <v>29</v>
      </c>
      <c r="D30" s="7"/>
      <c r="E30" s="9">
        <f>SUM(E31:E37)</f>
        <v>9390.8799999999992</v>
      </c>
      <c r="F30" s="38">
        <f>E30/E5</f>
        <v>1.4228606060606059</v>
      </c>
      <c r="G30" s="16">
        <f>SUM(G31:G37)</f>
        <v>1.4228606060606059</v>
      </c>
    </row>
    <row r="31" spans="3:7" x14ac:dyDescent="0.25">
      <c r="C31" s="5" t="s">
        <v>30</v>
      </c>
      <c r="D31" s="5">
        <f>'CALCULADORA COSTES'!B17*'CALCULADORA COSTES'!B16</f>
        <v>3048</v>
      </c>
      <c r="E31" s="5">
        <f>'H2'!E31</f>
        <v>3200.4</v>
      </c>
      <c r="F31" s="37">
        <f>E31/E5</f>
        <v>0.4849090909090909</v>
      </c>
      <c r="G31" s="17">
        <f>E31/E5</f>
        <v>0.4849090909090909</v>
      </c>
    </row>
    <row r="32" spans="3:7" x14ac:dyDescent="0.25">
      <c r="C32" s="5"/>
      <c r="D32" s="5"/>
      <c r="E32" s="5"/>
      <c r="F32" s="37">
        <f>E32/E5</f>
        <v>0</v>
      </c>
      <c r="G32" s="17">
        <f>E32/E5</f>
        <v>0</v>
      </c>
    </row>
    <row r="33" spans="3:7" x14ac:dyDescent="0.25">
      <c r="C33" s="13" t="s">
        <v>114</v>
      </c>
      <c r="D33" s="13">
        <f>'CALCULADORA COSTES'!B8*'CALCULADORA COSTES'!C8</f>
        <v>0.88200000000000001</v>
      </c>
      <c r="E33" s="18">
        <f>+D33*E5</f>
        <v>5821.2</v>
      </c>
      <c r="F33" s="37">
        <f>E33/E5</f>
        <v>0.88200000000000001</v>
      </c>
      <c r="G33" s="17">
        <f>E33/E5</f>
        <v>0.88200000000000001</v>
      </c>
    </row>
    <row r="34" spans="3:7" x14ac:dyDescent="0.25">
      <c r="C34" s="13" t="s">
        <v>46</v>
      </c>
      <c r="D34" s="43"/>
      <c r="E34" s="13">
        <f>'CALCULADORA COSTES'!F24*'CALCULADORA COSTES'!F25</f>
        <v>0</v>
      </c>
      <c r="F34" s="37">
        <f>E34/E5</f>
        <v>0</v>
      </c>
      <c r="G34" s="17">
        <f>E34/E5</f>
        <v>0</v>
      </c>
    </row>
    <row r="35" spans="3:7" x14ac:dyDescent="0.25">
      <c r="C35" s="5" t="s">
        <v>39</v>
      </c>
      <c r="D35" s="5">
        <v>1.0200000000000001E-2</v>
      </c>
      <c r="E35" s="12">
        <f>+D35*E5*2</f>
        <v>134.64000000000001</v>
      </c>
      <c r="F35" s="37">
        <f>E35/E5</f>
        <v>2.0400000000000001E-2</v>
      </c>
      <c r="G35" s="17">
        <f>E35/E5</f>
        <v>2.0400000000000001E-2</v>
      </c>
    </row>
    <row r="36" spans="3:7" x14ac:dyDescent="0.25">
      <c r="C36" s="5" t="s">
        <v>40</v>
      </c>
      <c r="D36" s="5">
        <v>1.0200000000000001E-2</v>
      </c>
      <c r="E36" s="12">
        <f>+D36*E5*2</f>
        <v>134.64000000000001</v>
      </c>
      <c r="F36" s="37">
        <f>E36/E5</f>
        <v>2.0400000000000001E-2</v>
      </c>
      <c r="G36" s="17">
        <f>E36/E5</f>
        <v>2.0400000000000001E-2</v>
      </c>
    </row>
    <row r="37" spans="3:7" x14ac:dyDescent="0.25">
      <c r="C37" s="5" t="s">
        <v>31</v>
      </c>
      <c r="D37" s="5"/>
      <c r="E37" s="12">
        <v>100</v>
      </c>
      <c r="F37" s="37">
        <f>E37/E5</f>
        <v>1.5151515151515152E-2</v>
      </c>
      <c r="G37" s="17">
        <f>E37/E5</f>
        <v>1.5151515151515152E-2</v>
      </c>
    </row>
    <row r="38" spans="3:7" x14ac:dyDescent="0.25">
      <c r="C38" s="19"/>
      <c r="D38" s="19"/>
      <c r="E38" s="19"/>
      <c r="F38" s="39"/>
      <c r="G38" s="20"/>
    </row>
    <row r="39" spans="3:7" ht="15.75" thickBot="1" x14ac:dyDescent="0.3">
      <c r="C39" s="19"/>
      <c r="D39" s="19"/>
      <c r="E39" s="19"/>
      <c r="F39" s="39"/>
      <c r="G39" s="20"/>
    </row>
    <row r="40" spans="3:7" ht="15.75" thickBot="1" x14ac:dyDescent="0.3">
      <c r="C40" s="21" t="s">
        <v>32</v>
      </c>
      <c r="D40" s="22"/>
      <c r="E40" s="23">
        <f>E30+E6</f>
        <v>18437.879999999997</v>
      </c>
      <c r="F40" s="40">
        <v>1</v>
      </c>
      <c r="G40" s="46">
        <f>SUM(G30+G6)</f>
        <v>2.7936181818181818</v>
      </c>
    </row>
    <row r="41" spans="3:7" x14ac:dyDescent="0.25">
      <c r="C41" s="19"/>
      <c r="D41" s="19"/>
      <c r="E41" s="19"/>
      <c r="F41" s="39">
        <v>0</v>
      </c>
      <c r="G41" s="24">
        <v>0</v>
      </c>
    </row>
    <row r="42" spans="3:7" x14ac:dyDescent="0.25">
      <c r="C42" s="5" t="s">
        <v>33</v>
      </c>
      <c r="D42" s="5"/>
      <c r="E42" s="5">
        <v>275</v>
      </c>
      <c r="F42" s="37">
        <f>E42/E5</f>
        <v>4.1666666666666664E-2</v>
      </c>
      <c r="G42" s="17">
        <f>E42/E5</f>
        <v>4.1666666666666664E-2</v>
      </c>
    </row>
    <row r="43" spans="3:7" x14ac:dyDescent="0.25">
      <c r="C43" s="5" t="s">
        <v>41</v>
      </c>
      <c r="D43" s="45">
        <v>0.04</v>
      </c>
      <c r="E43" s="12">
        <f>+E40*0.04</f>
        <v>737.51519999999994</v>
      </c>
      <c r="F43" s="37">
        <f>E43/E5</f>
        <v>0.11174472727272726</v>
      </c>
      <c r="G43" s="17">
        <f>E43/E5</f>
        <v>0.11174472727272726</v>
      </c>
    </row>
    <row r="44" spans="3:7" x14ac:dyDescent="0.25">
      <c r="C44" s="5" t="s">
        <v>34</v>
      </c>
      <c r="D44" s="5"/>
      <c r="E44" s="5"/>
      <c r="F44" s="35">
        <v>0</v>
      </c>
      <c r="G44" s="25">
        <v>0</v>
      </c>
    </row>
    <row r="45" spans="3:7" x14ac:dyDescent="0.25">
      <c r="C45" s="5" t="s">
        <v>35</v>
      </c>
      <c r="D45" s="5"/>
      <c r="E45" s="5"/>
      <c r="F45" s="35">
        <v>0</v>
      </c>
      <c r="G45" s="25">
        <v>0</v>
      </c>
    </row>
    <row r="46" spans="3:7" x14ac:dyDescent="0.25">
      <c r="C46" s="7" t="s">
        <v>36</v>
      </c>
      <c r="D46" s="7"/>
      <c r="E46" s="26">
        <f>E40+SUM(E42:E45)</f>
        <v>19450.395199999999</v>
      </c>
      <c r="F46" s="27">
        <v>1</v>
      </c>
      <c r="G46" s="47">
        <f>SUM(G40:G45)</f>
        <v>2.9470295757575755</v>
      </c>
    </row>
    <row r="47" spans="3:7" ht="15.75" thickBot="1" x14ac:dyDescent="0.3">
      <c r="C47" s="28" t="s">
        <v>37</v>
      </c>
      <c r="D47" s="28"/>
      <c r="E47" s="29"/>
      <c r="F47" s="41"/>
      <c r="G47" s="30"/>
    </row>
    <row r="48" spans="3:7" ht="15.75" thickBot="1" x14ac:dyDescent="0.3">
      <c r="C48" s="31" t="s">
        <v>38</v>
      </c>
      <c r="D48" s="22"/>
      <c r="E48" s="32">
        <f>G46+E47</f>
        <v>2.9470295757575755</v>
      </c>
      <c r="F48" s="42"/>
      <c r="G48" s="33"/>
    </row>
  </sheetData>
  <pageMargins left="0.7" right="0.7" top="0.75" bottom="0.75" header="0.3" footer="0.3"/>
  <headerFooter>
    <oddHeader>&amp;L&amp;"Aptos"&amp;8&amp;K0000FF [PRIVATE]&amp;1#_x000D_</oddHeader>
    <oddFooter>&amp;L_x000D_&amp;1#&amp;"Aptos"&amp;8&amp;K0000FF [PRIVATE]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08A09-9763-45FE-A742-35E34FF5EF0B}">
  <dimension ref="C1:L48"/>
  <sheetViews>
    <sheetView topLeftCell="A60" workbookViewId="0">
      <selection activeCell="E31" sqref="E31"/>
    </sheetView>
  </sheetViews>
  <sheetFormatPr baseColWidth="10" defaultRowHeight="15" x14ac:dyDescent="0.25"/>
  <cols>
    <col min="2" max="3" width="11.42578125" customWidth="1"/>
    <col min="4" max="4" width="21.42578125" customWidth="1"/>
    <col min="10" max="10" width="11.85546875" bestFit="1" customWidth="1"/>
    <col min="11" max="11" width="10.7109375" customWidth="1"/>
  </cols>
  <sheetData>
    <row r="1" spans="3:12" x14ac:dyDescent="0.25">
      <c r="J1" s="1"/>
      <c r="K1" s="2"/>
      <c r="L1" s="88"/>
    </row>
    <row r="2" spans="3:12" x14ac:dyDescent="0.25">
      <c r="C2" s="2"/>
      <c r="D2" s="2"/>
      <c r="E2" s="1" t="s">
        <v>0</v>
      </c>
      <c r="F2" s="34" t="s">
        <v>1</v>
      </c>
      <c r="G2" s="3" t="s">
        <v>2</v>
      </c>
      <c r="J2" s="2"/>
      <c r="K2" s="2"/>
      <c r="L2" s="1"/>
    </row>
    <row r="3" spans="3:12" x14ac:dyDescent="0.25">
      <c r="C3" s="5" t="s">
        <v>3</v>
      </c>
      <c r="D3" s="5"/>
      <c r="E3" s="5"/>
      <c r="F3" s="35"/>
      <c r="G3" s="6"/>
    </row>
    <row r="4" spans="3:12" x14ac:dyDescent="0.25">
      <c r="C4" s="5" t="s">
        <v>4</v>
      </c>
      <c r="D4" s="5"/>
      <c r="E4" s="5"/>
      <c r="F4" s="35"/>
      <c r="G4" s="6"/>
    </row>
    <row r="5" spans="3:12" x14ac:dyDescent="0.25">
      <c r="C5" s="7" t="s">
        <v>5</v>
      </c>
      <c r="D5" s="7"/>
      <c r="E5" s="7">
        <f>'CALCULADORA COSTES'!B14*'CALCULADORA COSTES'!B15</f>
        <v>6600</v>
      </c>
      <c r="F5" s="36"/>
      <c r="G5" s="8"/>
    </row>
    <row r="6" spans="3:12" x14ac:dyDescent="0.25">
      <c r="C6" s="7" t="s">
        <v>6</v>
      </c>
      <c r="D6" s="7"/>
      <c r="E6" s="9">
        <f>SUM(E7:E29)</f>
        <v>6847</v>
      </c>
      <c r="F6" s="36">
        <f>E6/E$5</f>
        <v>1.0374242424242424</v>
      </c>
      <c r="G6" s="10">
        <f>E6/E$5</f>
        <v>1.0374242424242424</v>
      </c>
    </row>
    <row r="7" spans="3:12" x14ac:dyDescent="0.25">
      <c r="C7" s="5" t="s">
        <v>7</v>
      </c>
      <c r="D7" s="5"/>
      <c r="E7" s="111">
        <f>'CALCULADORA COSTES'!E12</f>
        <v>4000</v>
      </c>
      <c r="F7" s="36">
        <f t="shared" ref="F7:F29" si="0">E7/E$5</f>
        <v>0.60606060606060608</v>
      </c>
      <c r="G7" s="11">
        <f t="shared" ref="G7:G29" si="1">E7/E$5</f>
        <v>0.60606060606060608</v>
      </c>
    </row>
    <row r="8" spans="3:12" x14ac:dyDescent="0.25">
      <c r="C8" s="5" t="s">
        <v>8</v>
      </c>
      <c r="D8" s="5"/>
      <c r="E8" s="5">
        <v>300</v>
      </c>
      <c r="F8" s="36">
        <f>E8/E$5</f>
        <v>4.5454545454545456E-2</v>
      </c>
      <c r="G8" s="11">
        <f>E8/E$5</f>
        <v>4.5454545454545456E-2</v>
      </c>
    </row>
    <row r="9" spans="3:12" x14ac:dyDescent="0.25">
      <c r="C9" s="5" t="s">
        <v>9</v>
      </c>
      <c r="D9" s="5"/>
      <c r="E9" s="5">
        <v>18</v>
      </c>
      <c r="F9" s="36">
        <f t="shared" si="0"/>
        <v>2.7272727272727275E-3</v>
      </c>
      <c r="G9" s="11">
        <f t="shared" si="1"/>
        <v>2.7272727272727275E-3</v>
      </c>
    </row>
    <row r="10" spans="3:12" x14ac:dyDescent="0.25">
      <c r="C10" s="5" t="s">
        <v>10</v>
      </c>
      <c r="D10" s="5"/>
      <c r="E10" s="12">
        <v>400</v>
      </c>
      <c r="F10" s="36">
        <f t="shared" si="0"/>
        <v>6.0606060606060608E-2</v>
      </c>
      <c r="G10" s="11">
        <f t="shared" si="1"/>
        <v>6.0606060606060608E-2</v>
      </c>
    </row>
    <row r="11" spans="3:12" x14ac:dyDescent="0.25">
      <c r="C11" s="13" t="s">
        <v>11</v>
      </c>
      <c r="D11" s="13"/>
      <c r="E11" s="13">
        <v>100</v>
      </c>
      <c r="F11" s="36">
        <f t="shared" si="0"/>
        <v>1.5151515151515152E-2</v>
      </c>
      <c r="G11" s="14">
        <f t="shared" si="1"/>
        <v>1.5151515151515152E-2</v>
      </c>
    </row>
    <row r="12" spans="3:12" x14ac:dyDescent="0.25">
      <c r="C12" s="5" t="s">
        <v>12</v>
      </c>
      <c r="D12" s="5"/>
      <c r="E12" s="5">
        <v>50</v>
      </c>
      <c r="F12" s="36">
        <f t="shared" si="0"/>
        <v>7.575757575757576E-3</v>
      </c>
      <c r="G12" s="11">
        <f t="shared" si="1"/>
        <v>7.575757575757576E-3</v>
      </c>
    </row>
    <row r="13" spans="3:12" x14ac:dyDescent="0.25">
      <c r="C13" s="5" t="s">
        <v>13</v>
      </c>
      <c r="D13" s="5"/>
      <c r="E13" s="12">
        <v>150</v>
      </c>
      <c r="F13" s="36">
        <f t="shared" si="0"/>
        <v>2.2727272727272728E-2</v>
      </c>
      <c r="G13" s="11">
        <f t="shared" si="1"/>
        <v>2.2727272727272728E-2</v>
      </c>
    </row>
    <row r="14" spans="3:12" x14ac:dyDescent="0.25">
      <c r="C14" s="5" t="s">
        <v>105</v>
      </c>
      <c r="D14" s="5"/>
      <c r="E14" s="5">
        <f>'DUOTRAILER GASOIL'!E14</f>
        <v>565</v>
      </c>
      <c r="F14" s="36">
        <f t="shared" si="0"/>
        <v>8.5606060606060602E-2</v>
      </c>
      <c r="G14" s="11">
        <f t="shared" si="1"/>
        <v>8.5606060606060602E-2</v>
      </c>
    </row>
    <row r="15" spans="3:12" x14ac:dyDescent="0.25">
      <c r="C15" s="5" t="s">
        <v>15</v>
      </c>
      <c r="D15" s="5"/>
      <c r="E15" s="12">
        <v>25</v>
      </c>
      <c r="F15" s="36">
        <f t="shared" si="0"/>
        <v>3.787878787878788E-3</v>
      </c>
      <c r="G15" s="11">
        <f t="shared" si="1"/>
        <v>3.787878787878788E-3</v>
      </c>
    </row>
    <row r="16" spans="3:12" x14ac:dyDescent="0.25">
      <c r="C16" s="5" t="s">
        <v>16</v>
      </c>
      <c r="D16" s="5"/>
      <c r="E16" s="12">
        <v>18</v>
      </c>
      <c r="F16" s="36">
        <f t="shared" si="0"/>
        <v>2.7272727272727275E-3</v>
      </c>
      <c r="G16" s="11">
        <f t="shared" si="1"/>
        <v>2.7272727272727275E-3</v>
      </c>
    </row>
    <row r="17" spans="3:7" x14ac:dyDescent="0.25">
      <c r="C17" s="5" t="s">
        <v>17</v>
      </c>
      <c r="D17" s="5"/>
      <c r="E17" s="12">
        <v>125</v>
      </c>
      <c r="F17" s="36">
        <f t="shared" si="0"/>
        <v>1.893939393939394E-2</v>
      </c>
      <c r="G17" s="11">
        <f t="shared" si="1"/>
        <v>1.893939393939394E-2</v>
      </c>
    </row>
    <row r="18" spans="3:7" x14ac:dyDescent="0.25">
      <c r="C18" s="5" t="s">
        <v>106</v>
      </c>
      <c r="D18" s="5"/>
      <c r="E18" s="5">
        <f>'DUOTRAILER GASOIL'!E18</f>
        <v>200</v>
      </c>
      <c r="F18" s="36">
        <f t="shared" si="0"/>
        <v>3.0303030303030304E-2</v>
      </c>
      <c r="G18" s="11">
        <f t="shared" si="1"/>
        <v>3.0303030303030304E-2</v>
      </c>
    </row>
    <row r="19" spans="3:7" x14ac:dyDescent="0.25">
      <c r="C19" s="5" t="s">
        <v>107</v>
      </c>
      <c r="D19" s="5"/>
      <c r="E19" s="5">
        <v>25</v>
      </c>
      <c r="F19" s="36">
        <f t="shared" si="0"/>
        <v>3.787878787878788E-3</v>
      </c>
      <c r="G19" s="11">
        <f t="shared" si="1"/>
        <v>3.787878787878788E-3</v>
      </c>
    </row>
    <row r="20" spans="3:7" x14ac:dyDescent="0.25">
      <c r="C20" s="5" t="s">
        <v>108</v>
      </c>
      <c r="D20" s="5"/>
      <c r="E20" s="12">
        <v>18</v>
      </c>
      <c r="F20" s="36">
        <f t="shared" si="0"/>
        <v>2.7272727272727275E-3</v>
      </c>
      <c r="G20" s="11">
        <f t="shared" si="1"/>
        <v>2.7272727272727275E-3</v>
      </c>
    </row>
    <row r="21" spans="3:7" x14ac:dyDescent="0.25">
      <c r="C21" s="5" t="s">
        <v>109</v>
      </c>
      <c r="D21" s="5"/>
      <c r="E21" s="5">
        <v>50</v>
      </c>
      <c r="F21" s="36">
        <f t="shared" si="0"/>
        <v>7.575757575757576E-3</v>
      </c>
      <c r="G21" s="11">
        <f t="shared" si="1"/>
        <v>7.575757575757576E-3</v>
      </c>
    </row>
    <row r="22" spans="3:7" x14ac:dyDescent="0.25">
      <c r="C22" s="5" t="s">
        <v>110</v>
      </c>
      <c r="D22" s="5"/>
      <c r="E22" s="5">
        <f>'DUOTRAILER GASOIL'!E22</f>
        <v>450</v>
      </c>
      <c r="F22" s="36">
        <f t="shared" si="0"/>
        <v>6.8181818181818177E-2</v>
      </c>
      <c r="G22" s="11">
        <f t="shared" si="1"/>
        <v>6.8181818181818177E-2</v>
      </c>
    </row>
    <row r="23" spans="3:7" x14ac:dyDescent="0.25">
      <c r="C23" s="5" t="s">
        <v>15</v>
      </c>
      <c r="D23" s="5"/>
      <c r="E23" s="5">
        <v>25</v>
      </c>
      <c r="F23" s="36">
        <f t="shared" si="0"/>
        <v>3.787878787878788E-3</v>
      </c>
      <c r="G23" s="11">
        <f t="shared" si="1"/>
        <v>3.787878787878788E-3</v>
      </c>
    </row>
    <row r="24" spans="3:7" x14ac:dyDescent="0.25">
      <c r="C24" s="5" t="s">
        <v>16</v>
      </c>
      <c r="D24" s="5"/>
      <c r="E24" s="5">
        <v>18</v>
      </c>
      <c r="F24" s="36">
        <f t="shared" si="0"/>
        <v>2.7272727272727275E-3</v>
      </c>
      <c r="G24" s="11">
        <f t="shared" si="1"/>
        <v>2.7272727272727275E-3</v>
      </c>
    </row>
    <row r="25" spans="3:7" x14ac:dyDescent="0.25">
      <c r="C25" s="5" t="s">
        <v>17</v>
      </c>
      <c r="D25" s="5"/>
      <c r="E25" s="12">
        <v>125</v>
      </c>
      <c r="F25" s="36">
        <f t="shared" si="0"/>
        <v>1.893939393939394E-2</v>
      </c>
      <c r="G25" s="11">
        <f t="shared" si="1"/>
        <v>1.893939393939394E-2</v>
      </c>
    </row>
    <row r="26" spans="3:7" x14ac:dyDescent="0.25">
      <c r="C26" s="5" t="s">
        <v>111</v>
      </c>
      <c r="D26" s="5"/>
      <c r="E26" s="5">
        <v>170</v>
      </c>
      <c r="F26" s="36">
        <f t="shared" si="0"/>
        <v>2.5757575757575757E-2</v>
      </c>
      <c r="G26" s="11">
        <f t="shared" si="1"/>
        <v>2.5757575757575757E-2</v>
      </c>
    </row>
    <row r="27" spans="3:7" x14ac:dyDescent="0.25">
      <c r="C27" s="5" t="s">
        <v>112</v>
      </c>
      <c r="D27" s="5"/>
      <c r="E27" s="5">
        <v>15</v>
      </c>
      <c r="F27" s="36">
        <f t="shared" si="0"/>
        <v>2.2727272727272726E-3</v>
      </c>
      <c r="G27" s="11">
        <f t="shared" si="1"/>
        <v>2.2727272727272726E-3</v>
      </c>
    </row>
    <row r="28" spans="3:7" x14ac:dyDescent="0.25">
      <c r="C28" s="13" t="s">
        <v>45</v>
      </c>
      <c r="D28" s="13"/>
      <c r="E28" s="13"/>
      <c r="F28" s="36">
        <f t="shared" si="0"/>
        <v>0</v>
      </c>
      <c r="G28" s="15">
        <f t="shared" si="1"/>
        <v>0</v>
      </c>
    </row>
    <row r="29" spans="3:7" x14ac:dyDescent="0.25">
      <c r="C29" s="5" t="s">
        <v>28</v>
      </c>
      <c r="D29" s="5"/>
      <c r="E29" s="5"/>
      <c r="F29" s="36">
        <f t="shared" si="0"/>
        <v>0</v>
      </c>
      <c r="G29" s="11">
        <f t="shared" si="1"/>
        <v>0</v>
      </c>
    </row>
    <row r="30" spans="3:7" x14ac:dyDescent="0.25">
      <c r="C30" s="7" t="s">
        <v>29</v>
      </c>
      <c r="D30" s="7"/>
      <c r="E30" s="9">
        <f>SUM(E31:E37)</f>
        <v>5514.2380000000012</v>
      </c>
      <c r="F30" s="38">
        <f>E30/E5</f>
        <v>0.83549060606060621</v>
      </c>
      <c r="G30" s="16">
        <f>SUM(G31:G37)</f>
        <v>0.83549060606060599</v>
      </c>
    </row>
    <row r="31" spans="3:7" x14ac:dyDescent="0.25">
      <c r="C31" s="5" t="s">
        <v>30</v>
      </c>
      <c r="D31" s="5">
        <f>(2000+85+22*36.06+20+150)*'CALCULADORA COSTES'!B16</f>
        <v>3048.32</v>
      </c>
      <c r="E31" s="5">
        <f>'H2'!E31</f>
        <v>3200.4</v>
      </c>
      <c r="F31" s="37">
        <f>E31/E5</f>
        <v>0.4849090909090909</v>
      </c>
      <c r="G31" s="17">
        <f>E31/E5</f>
        <v>0.4849090909090909</v>
      </c>
    </row>
    <row r="32" spans="3:7" x14ac:dyDescent="0.25">
      <c r="C32" s="5"/>
      <c r="D32" s="5"/>
      <c r="E32" s="5"/>
      <c r="F32" s="37">
        <f>E32/E5</f>
        <v>0</v>
      </c>
      <c r="G32" s="17">
        <f>E32/E5</f>
        <v>0</v>
      </c>
    </row>
    <row r="33" spans="3:7" x14ac:dyDescent="0.25">
      <c r="C33" s="13" t="s">
        <v>142</v>
      </c>
      <c r="D33" s="167">
        <f>'CALCULADORA COSTES'!D12</f>
        <v>0.29463</v>
      </c>
      <c r="E33" s="18">
        <f>+D33*E5</f>
        <v>1944.558</v>
      </c>
      <c r="F33" s="37">
        <f>E33/E5</f>
        <v>0.29463</v>
      </c>
      <c r="G33" s="17">
        <f>E33/E5</f>
        <v>0.29463</v>
      </c>
    </row>
    <row r="34" spans="3:7" x14ac:dyDescent="0.25">
      <c r="C34" s="13" t="s">
        <v>46</v>
      </c>
      <c r="D34" s="43"/>
      <c r="E34" s="13">
        <f>'CALCULADORA COSTES'!F24*'CALCULADORA COSTES'!F25</f>
        <v>0</v>
      </c>
      <c r="F34" s="37">
        <f>E34/E5</f>
        <v>0</v>
      </c>
      <c r="G34" s="17">
        <f>E34/E5</f>
        <v>0</v>
      </c>
    </row>
    <row r="35" spans="3:7" x14ac:dyDescent="0.25">
      <c r="C35" s="5" t="s">
        <v>39</v>
      </c>
      <c r="D35" s="5">
        <v>1.0200000000000001E-2</v>
      </c>
      <c r="E35" s="12">
        <f>+D35*E5*2</f>
        <v>134.64000000000001</v>
      </c>
      <c r="F35" s="37">
        <f>E35/E5</f>
        <v>2.0400000000000001E-2</v>
      </c>
      <c r="G35" s="17">
        <f>E35/E5</f>
        <v>2.0400000000000001E-2</v>
      </c>
    </row>
    <row r="36" spans="3:7" x14ac:dyDescent="0.25">
      <c r="C36" s="5" t="s">
        <v>40</v>
      </c>
      <c r="D36" s="5">
        <v>1.0200000000000001E-2</v>
      </c>
      <c r="E36" s="12">
        <f>+D36*E5*2</f>
        <v>134.64000000000001</v>
      </c>
      <c r="F36" s="37">
        <f>E36/E5</f>
        <v>2.0400000000000001E-2</v>
      </c>
      <c r="G36" s="17">
        <f>E36/E5</f>
        <v>2.0400000000000001E-2</v>
      </c>
    </row>
    <row r="37" spans="3:7" x14ac:dyDescent="0.25">
      <c r="C37" s="5" t="s">
        <v>31</v>
      </c>
      <c r="D37" s="5"/>
      <c r="E37" s="12">
        <v>100</v>
      </c>
      <c r="F37" s="37">
        <f>E37/E5</f>
        <v>1.5151515151515152E-2</v>
      </c>
      <c r="G37" s="17">
        <f>E37/E5</f>
        <v>1.5151515151515152E-2</v>
      </c>
    </row>
    <row r="38" spans="3:7" x14ac:dyDescent="0.25">
      <c r="C38" s="19"/>
      <c r="D38" s="19"/>
      <c r="E38" s="19"/>
      <c r="F38" s="39"/>
      <c r="G38" s="20"/>
    </row>
    <row r="39" spans="3:7" ht="15.75" thickBot="1" x14ac:dyDescent="0.3">
      <c r="C39" s="19"/>
      <c r="D39" s="19"/>
      <c r="E39" s="19"/>
      <c r="F39" s="39"/>
      <c r="G39" s="20"/>
    </row>
    <row r="40" spans="3:7" ht="15.75" thickBot="1" x14ac:dyDescent="0.3">
      <c r="C40" s="21" t="s">
        <v>32</v>
      </c>
      <c r="D40" s="22"/>
      <c r="E40" s="23">
        <f>E30+E6</f>
        <v>12361.238000000001</v>
      </c>
      <c r="F40" s="40">
        <v>1</v>
      </c>
      <c r="G40" s="46">
        <f>SUM(G30+G6)</f>
        <v>1.8729148484848483</v>
      </c>
    </row>
    <row r="41" spans="3:7" x14ac:dyDescent="0.25">
      <c r="C41" s="19"/>
      <c r="D41" s="19"/>
      <c r="E41" s="19"/>
      <c r="F41" s="39">
        <v>0</v>
      </c>
      <c r="G41" s="24">
        <v>0</v>
      </c>
    </row>
    <row r="42" spans="3:7" x14ac:dyDescent="0.25">
      <c r="C42" s="5" t="s">
        <v>33</v>
      </c>
      <c r="D42" s="5"/>
      <c r="E42" s="5">
        <v>275</v>
      </c>
      <c r="F42" s="37">
        <f>E42/E5</f>
        <v>4.1666666666666664E-2</v>
      </c>
      <c r="G42" s="17">
        <f>E42/E5</f>
        <v>4.1666666666666664E-2</v>
      </c>
    </row>
    <row r="43" spans="3:7" x14ac:dyDescent="0.25">
      <c r="C43" s="5" t="s">
        <v>41</v>
      </c>
      <c r="D43" s="45">
        <v>0.04</v>
      </c>
      <c r="E43" s="12">
        <f>+E40*0.04</f>
        <v>494.44952000000006</v>
      </c>
      <c r="F43" s="37">
        <f>E43/E5</f>
        <v>7.4916593939393955E-2</v>
      </c>
      <c r="G43" s="17">
        <f>E43/E5</f>
        <v>7.4916593939393955E-2</v>
      </c>
    </row>
    <row r="44" spans="3:7" x14ac:dyDescent="0.25">
      <c r="C44" s="5" t="s">
        <v>34</v>
      </c>
      <c r="D44" s="5"/>
      <c r="E44" s="5"/>
      <c r="F44" s="35">
        <v>0</v>
      </c>
      <c r="G44" s="25">
        <v>0</v>
      </c>
    </row>
    <row r="45" spans="3:7" x14ac:dyDescent="0.25">
      <c r="C45" s="5" t="s">
        <v>35</v>
      </c>
      <c r="D45" s="5"/>
      <c r="E45" s="5"/>
      <c r="F45" s="35">
        <v>0</v>
      </c>
      <c r="G45" s="25">
        <v>0</v>
      </c>
    </row>
    <row r="46" spans="3:7" x14ac:dyDescent="0.25">
      <c r="C46" s="7" t="s">
        <v>36</v>
      </c>
      <c r="D46" s="7"/>
      <c r="E46" s="26">
        <f>E40+SUM(E42:E45)</f>
        <v>13130.687520000001</v>
      </c>
      <c r="F46" s="27">
        <v>1</v>
      </c>
      <c r="G46" s="47">
        <f>SUM(G40:G45)</f>
        <v>1.989498109090909</v>
      </c>
    </row>
    <row r="47" spans="3:7" ht="15.75" thickBot="1" x14ac:dyDescent="0.3">
      <c r="C47" s="28" t="s">
        <v>37</v>
      </c>
      <c r="D47" s="28"/>
      <c r="E47" s="29"/>
      <c r="F47" s="41"/>
      <c r="G47" s="30"/>
    </row>
    <row r="48" spans="3:7" ht="15.75" thickBot="1" x14ac:dyDescent="0.3">
      <c r="C48" s="31" t="s">
        <v>38</v>
      </c>
      <c r="D48" s="22"/>
      <c r="E48" s="32">
        <f>G46+E47</f>
        <v>1.989498109090909</v>
      </c>
      <c r="F48" s="42"/>
      <c r="G48" s="33"/>
    </row>
  </sheetData>
  <pageMargins left="0.7" right="0.7" top="0.75" bottom="0.75" header="0.3" footer="0.3"/>
  <headerFooter>
    <oddHeader>&amp;L&amp;"Aptos"&amp;8&amp;K0000FF [PRIVATE]&amp;1#_x000D_</oddHeader>
    <oddFooter>&amp;L_x000D_&amp;1#&amp;"Aptos"&amp;8&amp;K0000FF [PRIVATE]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8337-C8BF-44C5-9657-F4EE3376A20D}">
  <dimension ref="C2:G48"/>
  <sheetViews>
    <sheetView topLeftCell="A9" workbookViewId="0">
      <selection activeCell="E30" sqref="E30"/>
    </sheetView>
  </sheetViews>
  <sheetFormatPr baseColWidth="10" defaultRowHeight="15" x14ac:dyDescent="0.25"/>
  <sheetData>
    <row r="2" spans="3:7" x14ac:dyDescent="0.25">
      <c r="C2" s="2"/>
      <c r="D2" s="2"/>
      <c r="E2" s="1" t="s">
        <v>0</v>
      </c>
      <c r="F2" s="34" t="s">
        <v>1</v>
      </c>
      <c r="G2" s="3" t="s">
        <v>2</v>
      </c>
    </row>
    <row r="3" spans="3:7" x14ac:dyDescent="0.25">
      <c r="C3" s="5" t="s">
        <v>3</v>
      </c>
      <c r="D3" s="5"/>
      <c r="E3" s="5"/>
      <c r="F3" s="35"/>
      <c r="G3" s="6"/>
    </row>
    <row r="4" spans="3:7" x14ac:dyDescent="0.25">
      <c r="C4" s="5" t="s">
        <v>4</v>
      </c>
      <c r="D4" s="5"/>
      <c r="E4" s="5"/>
      <c r="F4" s="35"/>
      <c r="G4" s="6"/>
    </row>
    <row r="5" spans="3:7" x14ac:dyDescent="0.25">
      <c r="C5" s="7" t="s">
        <v>5</v>
      </c>
      <c r="D5" s="7"/>
      <c r="E5" s="7">
        <f>'CALCULADORA COSTES'!B14*'CALCULADORA COSTES'!B15</f>
        <v>6600</v>
      </c>
      <c r="F5" s="36"/>
      <c r="G5" s="8"/>
    </row>
    <row r="6" spans="3:7" x14ac:dyDescent="0.25">
      <c r="C6" s="7" t="s">
        <v>6</v>
      </c>
      <c r="D6" s="7"/>
      <c r="E6" s="9">
        <f>SUM(E7:E29)</f>
        <v>5247</v>
      </c>
      <c r="F6" s="36">
        <f>E6/E$5</f>
        <v>0.79500000000000004</v>
      </c>
      <c r="G6" s="10">
        <f>E6/E$5</f>
        <v>0.79500000000000004</v>
      </c>
    </row>
    <row r="7" spans="3:7" x14ac:dyDescent="0.25">
      <c r="C7" s="5" t="s">
        <v>7</v>
      </c>
      <c r="D7" s="5"/>
      <c r="E7" s="5">
        <f>'CALCULADORA COSTES'!E10</f>
        <v>2400</v>
      </c>
      <c r="F7" s="36">
        <f t="shared" ref="F7:F29" si="0">E7/E$5</f>
        <v>0.36363636363636365</v>
      </c>
      <c r="G7" s="11">
        <f t="shared" ref="G7:G29" si="1">E7/E$5</f>
        <v>0.36363636363636365</v>
      </c>
    </row>
    <row r="8" spans="3:7" x14ac:dyDescent="0.25">
      <c r="C8" s="5" t="s">
        <v>8</v>
      </c>
      <c r="D8" s="5"/>
      <c r="E8" s="5">
        <v>300</v>
      </c>
      <c r="F8" s="36">
        <f>E8/E$5</f>
        <v>4.5454545454545456E-2</v>
      </c>
      <c r="G8" s="11">
        <f>E8/E$5</f>
        <v>4.5454545454545456E-2</v>
      </c>
    </row>
    <row r="9" spans="3:7" x14ac:dyDescent="0.25">
      <c r="C9" s="5" t="s">
        <v>9</v>
      </c>
      <c r="D9" s="5"/>
      <c r="E9" s="5">
        <v>18</v>
      </c>
      <c r="F9" s="36">
        <f t="shared" si="0"/>
        <v>2.7272727272727275E-3</v>
      </c>
      <c r="G9" s="11">
        <f t="shared" si="1"/>
        <v>2.7272727272727275E-3</v>
      </c>
    </row>
    <row r="10" spans="3:7" x14ac:dyDescent="0.25">
      <c r="C10" s="5" t="s">
        <v>10</v>
      </c>
      <c r="D10" s="5"/>
      <c r="E10" s="12">
        <v>400</v>
      </c>
      <c r="F10" s="36">
        <f t="shared" si="0"/>
        <v>6.0606060606060608E-2</v>
      </c>
      <c r="G10" s="11">
        <f t="shared" si="1"/>
        <v>6.0606060606060608E-2</v>
      </c>
    </row>
    <row r="11" spans="3:7" x14ac:dyDescent="0.25">
      <c r="C11" s="13" t="s">
        <v>11</v>
      </c>
      <c r="D11" s="13"/>
      <c r="E11" s="13">
        <v>100</v>
      </c>
      <c r="F11" s="36">
        <f t="shared" si="0"/>
        <v>1.5151515151515152E-2</v>
      </c>
      <c r="G11" s="14">
        <f t="shared" si="1"/>
        <v>1.5151515151515152E-2</v>
      </c>
    </row>
    <row r="12" spans="3:7" x14ac:dyDescent="0.25">
      <c r="C12" s="5" t="s">
        <v>12</v>
      </c>
      <c r="D12" s="5"/>
      <c r="E12" s="5">
        <v>50</v>
      </c>
      <c r="F12" s="36">
        <f t="shared" si="0"/>
        <v>7.575757575757576E-3</v>
      </c>
      <c r="G12" s="11">
        <f t="shared" si="1"/>
        <v>7.575757575757576E-3</v>
      </c>
    </row>
    <row r="13" spans="3:7" x14ac:dyDescent="0.25">
      <c r="C13" s="5" t="s">
        <v>13</v>
      </c>
      <c r="D13" s="5"/>
      <c r="E13" s="12">
        <v>150</v>
      </c>
      <c r="F13" s="36">
        <f t="shared" si="0"/>
        <v>2.2727272727272728E-2</v>
      </c>
      <c r="G13" s="11">
        <f t="shared" si="1"/>
        <v>2.2727272727272728E-2</v>
      </c>
    </row>
    <row r="14" spans="3:7" x14ac:dyDescent="0.25">
      <c r="C14" s="5" t="s">
        <v>105</v>
      </c>
      <c r="D14" s="5"/>
      <c r="E14" s="5">
        <f>'DUOTRAILER GASOIL'!E14</f>
        <v>565</v>
      </c>
      <c r="F14" s="36">
        <f t="shared" si="0"/>
        <v>8.5606060606060602E-2</v>
      </c>
      <c r="G14" s="11">
        <f t="shared" si="1"/>
        <v>8.5606060606060602E-2</v>
      </c>
    </row>
    <row r="15" spans="3:7" x14ac:dyDescent="0.25">
      <c r="C15" s="5" t="s">
        <v>15</v>
      </c>
      <c r="D15" s="5"/>
      <c r="E15" s="12">
        <v>25</v>
      </c>
      <c r="F15" s="36">
        <f t="shared" si="0"/>
        <v>3.787878787878788E-3</v>
      </c>
      <c r="G15" s="11">
        <f t="shared" si="1"/>
        <v>3.787878787878788E-3</v>
      </c>
    </row>
    <row r="16" spans="3:7" x14ac:dyDescent="0.25">
      <c r="C16" s="5" t="s">
        <v>16</v>
      </c>
      <c r="D16" s="5"/>
      <c r="E16" s="12">
        <v>18</v>
      </c>
      <c r="F16" s="36">
        <f t="shared" si="0"/>
        <v>2.7272727272727275E-3</v>
      </c>
      <c r="G16" s="11">
        <f t="shared" si="1"/>
        <v>2.7272727272727275E-3</v>
      </c>
    </row>
    <row r="17" spans="3:7" x14ac:dyDescent="0.25">
      <c r="C17" s="5" t="s">
        <v>17</v>
      </c>
      <c r="D17" s="5"/>
      <c r="E17" s="12">
        <v>125</v>
      </c>
      <c r="F17" s="36">
        <f t="shared" si="0"/>
        <v>1.893939393939394E-2</v>
      </c>
      <c r="G17" s="11">
        <f t="shared" si="1"/>
        <v>1.893939393939394E-2</v>
      </c>
    </row>
    <row r="18" spans="3:7" x14ac:dyDescent="0.25">
      <c r="C18" s="5" t="s">
        <v>106</v>
      </c>
      <c r="D18" s="5"/>
      <c r="E18" s="5">
        <f>'DUOTRAILER GASOIL'!E18</f>
        <v>200</v>
      </c>
      <c r="F18" s="36">
        <f t="shared" si="0"/>
        <v>3.0303030303030304E-2</v>
      </c>
      <c r="G18" s="11">
        <f t="shared" si="1"/>
        <v>3.0303030303030304E-2</v>
      </c>
    </row>
    <row r="19" spans="3:7" x14ac:dyDescent="0.25">
      <c r="C19" s="5" t="s">
        <v>107</v>
      </c>
      <c r="D19" s="5"/>
      <c r="E19" s="5">
        <v>25</v>
      </c>
      <c r="F19" s="36">
        <f t="shared" si="0"/>
        <v>3.787878787878788E-3</v>
      </c>
      <c r="G19" s="11">
        <f t="shared" si="1"/>
        <v>3.787878787878788E-3</v>
      </c>
    </row>
    <row r="20" spans="3:7" x14ac:dyDescent="0.25">
      <c r="C20" s="5" t="s">
        <v>108</v>
      </c>
      <c r="D20" s="5"/>
      <c r="E20" s="12">
        <v>18</v>
      </c>
      <c r="F20" s="36">
        <f t="shared" si="0"/>
        <v>2.7272727272727275E-3</v>
      </c>
      <c r="G20" s="11">
        <f t="shared" si="1"/>
        <v>2.7272727272727275E-3</v>
      </c>
    </row>
    <row r="21" spans="3:7" x14ac:dyDescent="0.25">
      <c r="C21" s="5" t="s">
        <v>109</v>
      </c>
      <c r="D21" s="5"/>
      <c r="E21" s="5">
        <v>50</v>
      </c>
      <c r="F21" s="36">
        <f t="shared" si="0"/>
        <v>7.575757575757576E-3</v>
      </c>
      <c r="G21" s="11">
        <f t="shared" si="1"/>
        <v>7.575757575757576E-3</v>
      </c>
    </row>
    <row r="22" spans="3:7" x14ac:dyDescent="0.25">
      <c r="C22" s="5" t="s">
        <v>110</v>
      </c>
      <c r="D22" s="5"/>
      <c r="E22" s="5">
        <f>'DUOTRAILER GASOIL'!E22</f>
        <v>450</v>
      </c>
      <c r="F22" s="36">
        <f t="shared" si="0"/>
        <v>6.8181818181818177E-2</v>
      </c>
      <c r="G22" s="11">
        <f t="shared" si="1"/>
        <v>6.8181818181818177E-2</v>
      </c>
    </row>
    <row r="23" spans="3:7" x14ac:dyDescent="0.25">
      <c r="C23" s="5" t="s">
        <v>15</v>
      </c>
      <c r="D23" s="5"/>
      <c r="E23" s="5">
        <v>25</v>
      </c>
      <c r="F23" s="36">
        <f t="shared" si="0"/>
        <v>3.787878787878788E-3</v>
      </c>
      <c r="G23" s="11">
        <f t="shared" si="1"/>
        <v>3.787878787878788E-3</v>
      </c>
    </row>
    <row r="24" spans="3:7" x14ac:dyDescent="0.25">
      <c r="C24" s="5" t="s">
        <v>16</v>
      </c>
      <c r="D24" s="5"/>
      <c r="E24" s="5">
        <v>18</v>
      </c>
      <c r="F24" s="36">
        <f t="shared" si="0"/>
        <v>2.7272727272727275E-3</v>
      </c>
      <c r="G24" s="11">
        <f t="shared" si="1"/>
        <v>2.7272727272727275E-3</v>
      </c>
    </row>
    <row r="25" spans="3:7" x14ac:dyDescent="0.25">
      <c r="C25" s="5" t="s">
        <v>17</v>
      </c>
      <c r="D25" s="5"/>
      <c r="E25" s="12">
        <v>125</v>
      </c>
      <c r="F25" s="36">
        <f t="shared" si="0"/>
        <v>1.893939393939394E-2</v>
      </c>
      <c r="G25" s="11">
        <f t="shared" si="1"/>
        <v>1.893939393939394E-2</v>
      </c>
    </row>
    <row r="26" spans="3:7" x14ac:dyDescent="0.25">
      <c r="C26" s="5" t="s">
        <v>111</v>
      </c>
      <c r="D26" s="5"/>
      <c r="E26" s="5">
        <v>170</v>
      </c>
      <c r="F26" s="36">
        <f t="shared" si="0"/>
        <v>2.5757575757575757E-2</v>
      </c>
      <c r="G26" s="11">
        <f t="shared" si="1"/>
        <v>2.5757575757575757E-2</v>
      </c>
    </row>
    <row r="27" spans="3:7" x14ac:dyDescent="0.25">
      <c r="C27" s="5" t="s">
        <v>112</v>
      </c>
      <c r="D27" s="5"/>
      <c r="E27" s="5">
        <v>15</v>
      </c>
      <c r="F27" s="36">
        <f t="shared" si="0"/>
        <v>2.2727272727272726E-3</v>
      </c>
      <c r="G27" s="11">
        <f t="shared" si="1"/>
        <v>2.2727272727272726E-3</v>
      </c>
    </row>
    <row r="28" spans="3:7" x14ac:dyDescent="0.25">
      <c r="C28" s="13" t="s">
        <v>45</v>
      </c>
      <c r="D28" s="13"/>
      <c r="E28" s="13"/>
      <c r="F28" s="36">
        <f t="shared" si="0"/>
        <v>0</v>
      </c>
      <c r="G28" s="15">
        <f t="shared" si="1"/>
        <v>0</v>
      </c>
    </row>
    <row r="29" spans="3:7" x14ac:dyDescent="0.25">
      <c r="C29" s="5" t="s">
        <v>28</v>
      </c>
      <c r="D29" s="5"/>
      <c r="E29" s="5"/>
      <c r="F29" s="36">
        <f t="shared" si="0"/>
        <v>0</v>
      </c>
      <c r="G29" s="11">
        <f t="shared" si="1"/>
        <v>0</v>
      </c>
    </row>
    <row r="30" spans="3:7" x14ac:dyDescent="0.25">
      <c r="C30" s="7" t="s">
        <v>29</v>
      </c>
      <c r="D30" s="7"/>
      <c r="E30" s="9">
        <f>SUM(E31:E37)</f>
        <v>7960.5280000000002</v>
      </c>
      <c r="F30" s="38">
        <f>E30/E5</f>
        <v>1.2061406060606061</v>
      </c>
      <c r="G30" s="16">
        <f>SUM(G31:G37)</f>
        <v>1.2061406060606059</v>
      </c>
    </row>
    <row r="31" spans="3:7" x14ac:dyDescent="0.25">
      <c r="C31" s="5" t="s">
        <v>30</v>
      </c>
      <c r="D31" s="5">
        <f>(2000+85+22*36.06+20+150)*'CALCULADORA COSTES'!B16</f>
        <v>3048.32</v>
      </c>
      <c r="E31" s="5">
        <f>'H2'!E31</f>
        <v>3200.4</v>
      </c>
      <c r="F31" s="37">
        <f>E31/E5</f>
        <v>0.4849090909090909</v>
      </c>
      <c r="G31" s="17">
        <f>E31/E5</f>
        <v>0.4849090909090909</v>
      </c>
    </row>
    <row r="32" spans="3:7" x14ac:dyDescent="0.25">
      <c r="C32" s="5"/>
      <c r="D32" s="5"/>
      <c r="E32" s="5"/>
      <c r="F32" s="37">
        <f>E32/E5</f>
        <v>0</v>
      </c>
      <c r="G32" s="17">
        <f>E32/E5</f>
        <v>0</v>
      </c>
    </row>
    <row r="33" spans="3:7" x14ac:dyDescent="0.25">
      <c r="C33" s="13" t="s">
        <v>104</v>
      </c>
      <c r="D33" s="13">
        <v>1.05</v>
      </c>
      <c r="E33" s="18">
        <f>'CALCULADORA COSTES'!D10*E5</f>
        <v>4390.848</v>
      </c>
      <c r="F33" s="37">
        <f>E33/E5</f>
        <v>0.66527999999999998</v>
      </c>
      <c r="G33" s="17">
        <f>E33/E5</f>
        <v>0.66527999999999998</v>
      </c>
    </row>
    <row r="34" spans="3:7" x14ac:dyDescent="0.25">
      <c r="C34" s="13" t="s">
        <v>46</v>
      </c>
      <c r="D34" s="43"/>
      <c r="E34" s="13">
        <f>'CALCULADORA COSTES'!F24*'CALCULADORA COSTES'!F25</f>
        <v>0</v>
      </c>
      <c r="F34" s="37">
        <f>E34/E5</f>
        <v>0</v>
      </c>
      <c r="G34" s="17">
        <f>E34/E5</f>
        <v>0</v>
      </c>
    </row>
    <row r="35" spans="3:7" x14ac:dyDescent="0.25">
      <c r="C35" s="5" t="s">
        <v>39</v>
      </c>
      <c r="D35" s="5">
        <v>1.0200000000000001E-2</v>
      </c>
      <c r="E35" s="12">
        <f>+D35*E5*2</f>
        <v>134.64000000000001</v>
      </c>
      <c r="F35" s="37">
        <f>E35/E5</f>
        <v>2.0400000000000001E-2</v>
      </c>
      <c r="G35" s="17">
        <f>E35/E5</f>
        <v>2.0400000000000001E-2</v>
      </c>
    </row>
    <row r="36" spans="3:7" x14ac:dyDescent="0.25">
      <c r="C36" s="5" t="s">
        <v>40</v>
      </c>
      <c r="D36" s="5">
        <v>1.0200000000000001E-2</v>
      </c>
      <c r="E36" s="12">
        <f>+D36*E5*2</f>
        <v>134.64000000000001</v>
      </c>
      <c r="F36" s="37">
        <f>E36/E5</f>
        <v>2.0400000000000001E-2</v>
      </c>
      <c r="G36" s="17">
        <f>E36/E5</f>
        <v>2.0400000000000001E-2</v>
      </c>
    </row>
    <row r="37" spans="3:7" x14ac:dyDescent="0.25">
      <c r="C37" s="5" t="s">
        <v>31</v>
      </c>
      <c r="D37" s="5"/>
      <c r="E37" s="12">
        <v>100</v>
      </c>
      <c r="F37" s="37">
        <f>E37/E5</f>
        <v>1.5151515151515152E-2</v>
      </c>
      <c r="G37" s="17">
        <f>E37/E5</f>
        <v>1.5151515151515152E-2</v>
      </c>
    </row>
    <row r="38" spans="3:7" x14ac:dyDescent="0.25">
      <c r="C38" s="19"/>
      <c r="D38" s="19"/>
      <c r="E38" s="19"/>
      <c r="F38" s="39"/>
      <c r="G38" s="20"/>
    </row>
    <row r="39" spans="3:7" ht="15.75" thickBot="1" x14ac:dyDescent="0.3">
      <c r="C39" s="19"/>
      <c r="D39" s="19"/>
      <c r="E39" s="19"/>
      <c r="F39" s="39"/>
      <c r="G39" s="20"/>
    </row>
    <row r="40" spans="3:7" ht="15.75" thickBot="1" x14ac:dyDescent="0.3">
      <c r="C40" s="21" t="s">
        <v>32</v>
      </c>
      <c r="D40" s="22"/>
      <c r="E40" s="23">
        <f>E30+E6</f>
        <v>13207.528</v>
      </c>
      <c r="F40" s="40">
        <v>1</v>
      </c>
      <c r="G40" s="46">
        <f>SUM(G30+G6)</f>
        <v>2.0011406060606061</v>
      </c>
    </row>
    <row r="41" spans="3:7" x14ac:dyDescent="0.25">
      <c r="C41" s="19"/>
      <c r="D41" s="19"/>
      <c r="E41" s="19"/>
      <c r="F41" s="39">
        <v>0</v>
      </c>
      <c r="G41" s="24">
        <v>0</v>
      </c>
    </row>
    <row r="42" spans="3:7" x14ac:dyDescent="0.25">
      <c r="C42" s="5" t="s">
        <v>33</v>
      </c>
      <c r="D42" s="5"/>
      <c r="E42" s="5">
        <v>275</v>
      </c>
      <c r="F42" s="37">
        <f>E42/E5</f>
        <v>4.1666666666666664E-2</v>
      </c>
      <c r="G42" s="17">
        <f>E42/E5</f>
        <v>4.1666666666666664E-2</v>
      </c>
    </row>
    <row r="43" spans="3:7" x14ac:dyDescent="0.25">
      <c r="C43" s="5" t="s">
        <v>41</v>
      </c>
      <c r="D43" s="45">
        <v>0.04</v>
      </c>
      <c r="E43" s="12">
        <f>+E40*0.04</f>
        <v>528.30111999999997</v>
      </c>
      <c r="F43" s="37">
        <f>E43/E5</f>
        <v>8.0045624242424243E-2</v>
      </c>
      <c r="G43" s="17">
        <f>E43/E5</f>
        <v>8.0045624242424243E-2</v>
      </c>
    </row>
    <row r="44" spans="3:7" x14ac:dyDescent="0.25">
      <c r="C44" s="5" t="s">
        <v>34</v>
      </c>
      <c r="D44" s="5"/>
      <c r="E44" s="5"/>
      <c r="F44" s="35">
        <v>0</v>
      </c>
      <c r="G44" s="25">
        <v>0</v>
      </c>
    </row>
    <row r="45" spans="3:7" x14ac:dyDescent="0.25">
      <c r="C45" s="5" t="s">
        <v>35</v>
      </c>
      <c r="D45" s="5"/>
      <c r="E45" s="5"/>
      <c r="F45" s="35">
        <v>0</v>
      </c>
      <c r="G45" s="25">
        <v>0</v>
      </c>
    </row>
    <row r="46" spans="3:7" x14ac:dyDescent="0.25">
      <c r="C46" s="7" t="s">
        <v>36</v>
      </c>
      <c r="D46" s="7"/>
      <c r="E46" s="26">
        <f>E40+SUM(E42:E45)</f>
        <v>14010.82912</v>
      </c>
      <c r="F46" s="27">
        <v>1</v>
      </c>
      <c r="G46" s="47">
        <f>SUM(G40:G45)</f>
        <v>2.1228528969696967</v>
      </c>
    </row>
    <row r="47" spans="3:7" ht="15.75" thickBot="1" x14ac:dyDescent="0.3">
      <c r="C47" s="28" t="s">
        <v>37</v>
      </c>
      <c r="D47" s="28"/>
      <c r="E47" s="29"/>
      <c r="F47" s="41"/>
      <c r="G47" s="30"/>
    </row>
    <row r="48" spans="3:7" ht="15.75" thickBot="1" x14ac:dyDescent="0.3">
      <c r="C48" s="31" t="s">
        <v>38</v>
      </c>
      <c r="D48" s="22"/>
      <c r="E48" s="32">
        <f>G46+E47</f>
        <v>2.1228528969696967</v>
      </c>
      <c r="F48" s="42"/>
      <c r="G48" s="33"/>
    </row>
  </sheetData>
  <pageMargins left="0.7" right="0.7" top="0.75" bottom="0.75" header="0.3" footer="0.3"/>
  <headerFooter>
    <oddHeader>&amp;L&amp;"Aptos"&amp;8&amp;K0000FF [PRIVATE]&amp;1#_x000D_</oddHeader>
    <oddFooter>&amp;L_x000D_&amp;1#&amp;"Aptos"&amp;8&amp;K0000FF [PRIVATE]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A0FA-DFBD-4858-ABE3-124493ACD681}">
  <dimension ref="A1:L8"/>
  <sheetViews>
    <sheetView workbookViewId="0">
      <selection activeCell="P22" sqref="P22"/>
    </sheetView>
  </sheetViews>
  <sheetFormatPr baseColWidth="10" defaultRowHeight="15" x14ac:dyDescent="0.25"/>
  <sheetData>
    <row r="1" spans="1:12" x14ac:dyDescent="0.25">
      <c r="A1" s="54" t="s">
        <v>196</v>
      </c>
      <c r="B1" s="136" t="s">
        <v>155</v>
      </c>
      <c r="C1" s="136" t="s">
        <v>156</v>
      </c>
      <c r="D1" s="136" t="s">
        <v>157</v>
      </c>
      <c r="E1" s="136" t="s">
        <v>158</v>
      </c>
      <c r="F1" s="136" t="s">
        <v>159</v>
      </c>
      <c r="G1" s="136" t="s">
        <v>160</v>
      </c>
      <c r="H1" s="136" t="s">
        <v>161</v>
      </c>
      <c r="I1" s="136" t="s">
        <v>162</v>
      </c>
      <c r="J1" s="136" t="s">
        <v>163</v>
      </c>
      <c r="K1" s="136" t="s">
        <v>164</v>
      </c>
      <c r="L1" s="87"/>
    </row>
    <row r="2" spans="1:12" x14ac:dyDescent="0.25">
      <c r="A2" s="54" t="s">
        <v>48</v>
      </c>
      <c r="B2" s="54">
        <v>0.08</v>
      </c>
      <c r="C2" s="54">
        <f t="shared" ref="C2:K2" ca="1" si="0">$C$2*C1</f>
        <v>0.16</v>
      </c>
      <c r="D2" s="54">
        <f t="shared" ca="1" si="0"/>
        <v>0.24</v>
      </c>
      <c r="E2" s="54">
        <f t="shared" ca="1" si="0"/>
        <v>0.32</v>
      </c>
      <c r="F2" s="54">
        <f t="shared" ca="1" si="0"/>
        <v>0.4</v>
      </c>
      <c r="G2" s="54">
        <f t="shared" ca="1" si="0"/>
        <v>0.48</v>
      </c>
      <c r="H2" s="54">
        <f t="shared" ca="1" si="0"/>
        <v>0.56000000000000005</v>
      </c>
      <c r="I2" s="54">
        <f t="shared" ca="1" si="0"/>
        <v>0.64</v>
      </c>
      <c r="J2" s="54">
        <f t="shared" ca="1" si="0"/>
        <v>0.72</v>
      </c>
      <c r="K2" s="54">
        <f t="shared" ca="1" si="0"/>
        <v>0.8</v>
      </c>
      <c r="L2" s="87"/>
    </row>
    <row r="3" spans="1:12" x14ac:dyDescent="0.25">
      <c r="A3" s="54" t="s">
        <v>165</v>
      </c>
      <c r="B3" s="54">
        <v>0.315</v>
      </c>
      <c r="C3" s="54">
        <v>0.315</v>
      </c>
      <c r="D3" s="54">
        <v>0.315</v>
      </c>
      <c r="E3" s="54">
        <v>0.315</v>
      </c>
      <c r="F3" s="54">
        <v>0.315</v>
      </c>
      <c r="G3" s="54">
        <v>0.315</v>
      </c>
      <c r="H3" s="54">
        <v>0.315</v>
      </c>
      <c r="I3" s="54">
        <v>0.315</v>
      </c>
      <c r="J3" s="54">
        <v>0.315</v>
      </c>
      <c r="K3" s="54">
        <v>0.315</v>
      </c>
      <c r="L3" s="87"/>
    </row>
    <row r="4" spans="1:12" x14ac:dyDescent="0.25">
      <c r="A4" s="54" t="s">
        <v>166</v>
      </c>
      <c r="B4" s="54">
        <v>0.28399999999999997</v>
      </c>
      <c r="C4" s="54">
        <v>0.28399999999999997</v>
      </c>
      <c r="D4" s="54">
        <v>0.28399999999999997</v>
      </c>
      <c r="E4" s="54">
        <v>0.28399999999999997</v>
      </c>
      <c r="F4" s="54">
        <v>0.28399999999999997</v>
      </c>
      <c r="G4" s="54">
        <v>0.28399999999999997</v>
      </c>
      <c r="H4" s="54">
        <v>0.28399999999999997</v>
      </c>
      <c r="I4" s="54">
        <v>0.28399999999999997</v>
      </c>
      <c r="J4" s="54">
        <v>0.28399999999999997</v>
      </c>
      <c r="K4" s="54">
        <v>0.28399999999999997</v>
      </c>
      <c r="L4" s="87"/>
    </row>
    <row r="5" spans="1:12" x14ac:dyDescent="0.25">
      <c r="A5" s="54" t="s">
        <v>167</v>
      </c>
      <c r="B5" s="54">
        <v>0.252</v>
      </c>
      <c r="C5" s="54">
        <v>0.252</v>
      </c>
      <c r="D5" s="54">
        <v>0.252</v>
      </c>
      <c r="E5" s="54">
        <v>0.252</v>
      </c>
      <c r="F5" s="54">
        <v>0.252</v>
      </c>
      <c r="G5" s="54">
        <v>0.252</v>
      </c>
      <c r="H5" s="54">
        <v>0.252</v>
      </c>
      <c r="I5" s="54">
        <v>0.252</v>
      </c>
      <c r="J5" s="54">
        <v>0.252</v>
      </c>
      <c r="K5" s="54">
        <v>0.252</v>
      </c>
      <c r="L5" s="87"/>
    </row>
    <row r="6" spans="1:12" x14ac:dyDescent="0.25">
      <c r="A6" s="54" t="s">
        <v>104</v>
      </c>
      <c r="B6" s="87">
        <f>'CALCULADORA COSTES'!$D$5</f>
        <v>0.47520000000000001</v>
      </c>
      <c r="C6" s="87">
        <f>'CALCULADORA COSTES'!$D$5</f>
        <v>0.47520000000000001</v>
      </c>
      <c r="D6" s="87">
        <f>'CALCULADORA COSTES'!$D$5</f>
        <v>0.47520000000000001</v>
      </c>
      <c r="E6" s="87">
        <f>'CALCULADORA COSTES'!$D$5</f>
        <v>0.47520000000000001</v>
      </c>
      <c r="F6" s="87">
        <f>'CALCULADORA COSTES'!$D$5</f>
        <v>0.47520000000000001</v>
      </c>
      <c r="G6" s="87">
        <f>'CALCULADORA COSTES'!$D$5</f>
        <v>0.47520000000000001</v>
      </c>
      <c r="H6" s="87">
        <f>'CALCULADORA COSTES'!$D$5</f>
        <v>0.47520000000000001</v>
      </c>
      <c r="I6" s="87">
        <f>'CALCULADORA COSTES'!$D$5</f>
        <v>0.47520000000000001</v>
      </c>
      <c r="J6" s="87">
        <f>'CALCULADORA COSTES'!$D$5</f>
        <v>0.47520000000000001</v>
      </c>
      <c r="K6" s="87">
        <f>'CALCULADORA COSTES'!$D$5</f>
        <v>0.47520000000000001</v>
      </c>
      <c r="L6" s="87"/>
    </row>
    <row r="7" spans="1:12" x14ac:dyDescent="0.25">
      <c r="A7" s="54" t="s">
        <v>168</v>
      </c>
      <c r="B7" s="87">
        <f>'CALCULADORA COSTES'!$D$3</f>
        <v>0.44880000000000003</v>
      </c>
      <c r="C7" s="87">
        <f>'CALCULADORA COSTES'!$D$3</f>
        <v>0.44880000000000003</v>
      </c>
      <c r="D7" s="87">
        <f>'CALCULADORA COSTES'!$D$3</f>
        <v>0.44880000000000003</v>
      </c>
      <c r="E7" s="87">
        <f>'CALCULADORA COSTES'!$D$3</f>
        <v>0.44880000000000003</v>
      </c>
      <c r="F7" s="87">
        <f>'CALCULADORA COSTES'!$D$3</f>
        <v>0.44880000000000003</v>
      </c>
      <c r="G7" s="87">
        <f>'CALCULADORA COSTES'!$D$3</f>
        <v>0.44880000000000003</v>
      </c>
      <c r="H7" s="87">
        <f>'CALCULADORA COSTES'!$D$3</f>
        <v>0.44880000000000003</v>
      </c>
      <c r="I7" s="87">
        <f>'CALCULADORA COSTES'!$D$3</f>
        <v>0.44880000000000003</v>
      </c>
      <c r="J7" s="87">
        <f>'CALCULADORA COSTES'!$D$3</f>
        <v>0.44880000000000003</v>
      </c>
      <c r="K7" s="87">
        <f>'CALCULADORA COSTES'!$D$3</f>
        <v>0.44880000000000003</v>
      </c>
      <c r="L7" s="87"/>
    </row>
    <row r="8" spans="1:12" x14ac:dyDescent="0.25">
      <c r="A8" s="54" t="s">
        <v>169</v>
      </c>
      <c r="B8" s="87">
        <f>'CALCULADORA COSTES'!$D$6</f>
        <v>0.42090000000000005</v>
      </c>
      <c r="C8" s="87">
        <f>'CALCULADORA COSTES'!$D$6</f>
        <v>0.42090000000000005</v>
      </c>
      <c r="D8" s="87">
        <f>'CALCULADORA COSTES'!$D$6</f>
        <v>0.42090000000000005</v>
      </c>
      <c r="E8" s="87">
        <f>'CALCULADORA COSTES'!$D$6</f>
        <v>0.42090000000000005</v>
      </c>
      <c r="F8" s="87">
        <f>'CALCULADORA COSTES'!$D$6</f>
        <v>0.42090000000000005</v>
      </c>
      <c r="G8" s="87">
        <f>'CALCULADORA COSTES'!$D$6</f>
        <v>0.42090000000000005</v>
      </c>
      <c r="H8" s="87">
        <f>'CALCULADORA COSTES'!$D$6</f>
        <v>0.42090000000000005</v>
      </c>
      <c r="I8" s="87">
        <f>'CALCULADORA COSTES'!$D$6</f>
        <v>0.42090000000000005</v>
      </c>
      <c r="J8" s="87">
        <f>'CALCULADORA COSTES'!$D$6</f>
        <v>0.42090000000000005</v>
      </c>
      <c r="K8" s="87">
        <f>'CALCULADORA COSTES'!$D$6</f>
        <v>0.42090000000000005</v>
      </c>
      <c r="L8" s="87"/>
    </row>
  </sheetData>
  <pageMargins left="0.7" right="0.7" top="0.75" bottom="0.75" header="0.3" footer="0.3"/>
  <headerFooter>
    <oddHeader>&amp;L&amp;"Aptos"&amp;8&amp;K0000FF [PRIVATE]&amp;1#_x000D_</oddHeader>
    <oddFooter>&amp;L_x000D_&amp;1#&amp;"Aptos"&amp;8&amp;K0000FF [PRIVATE]</oddFooter>
  </headerFooter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7F106-BA3B-4019-8474-5BF2B11C35AB}">
  <dimension ref="B3:AF268"/>
  <sheetViews>
    <sheetView topLeftCell="B124" workbookViewId="0">
      <selection activeCell="M33" sqref="M33"/>
    </sheetView>
  </sheetViews>
  <sheetFormatPr baseColWidth="10" defaultRowHeight="15" x14ac:dyDescent="0.25"/>
  <sheetData>
    <row r="3" spans="2:32" x14ac:dyDescent="0.25">
      <c r="B3" t="s">
        <v>59</v>
      </c>
      <c r="C3" s="54" t="s">
        <v>73</v>
      </c>
      <c r="D3" s="54" t="s">
        <v>74</v>
      </c>
      <c r="E3" s="54" t="s">
        <v>75</v>
      </c>
      <c r="F3" s="54" t="s">
        <v>76</v>
      </c>
      <c r="G3" s="54" t="s">
        <v>77</v>
      </c>
      <c r="H3" s="54" t="s">
        <v>78</v>
      </c>
      <c r="I3" s="54" t="s">
        <v>79</v>
      </c>
      <c r="J3" s="54" t="s">
        <v>80</v>
      </c>
      <c r="K3" s="54" t="s">
        <v>81</v>
      </c>
      <c r="L3" s="54" t="s">
        <v>82</v>
      </c>
      <c r="M3" s="54" t="s">
        <v>83</v>
      </c>
      <c r="N3" s="54" t="s">
        <v>84</v>
      </c>
      <c r="O3" s="54" t="s">
        <v>85</v>
      </c>
      <c r="P3" s="54" t="s">
        <v>86</v>
      </c>
      <c r="R3" s="84" t="s">
        <v>125</v>
      </c>
      <c r="S3" s="89" t="s">
        <v>127</v>
      </c>
      <c r="T3" s="89" t="s">
        <v>128</v>
      </c>
      <c r="U3" s="89" t="s">
        <v>129</v>
      </c>
      <c r="V3" s="89" t="s">
        <v>130</v>
      </c>
      <c r="W3" s="89" t="s">
        <v>131</v>
      </c>
      <c r="X3" s="89" t="s">
        <v>132</v>
      </c>
      <c r="Y3" s="89" t="s">
        <v>133</v>
      </c>
      <c r="Z3" s="89" t="s">
        <v>134</v>
      </c>
      <c r="AA3" s="89" t="s">
        <v>135</v>
      </c>
      <c r="AB3" s="89" t="s">
        <v>136</v>
      </c>
      <c r="AC3" s="89" t="s">
        <v>137</v>
      </c>
      <c r="AD3" s="89" t="s">
        <v>138</v>
      </c>
      <c r="AE3" s="89" t="s">
        <v>139</v>
      </c>
      <c r="AF3" s="89" t="s">
        <v>140</v>
      </c>
    </row>
    <row r="4" spans="2:32" x14ac:dyDescent="0.25">
      <c r="B4" s="67" t="s">
        <v>56</v>
      </c>
      <c r="C4" s="61">
        <v>5.76</v>
      </c>
      <c r="D4" s="61">
        <v>3.3</v>
      </c>
      <c r="E4" s="61">
        <v>2.4900000000000002</v>
      </c>
      <c r="F4" s="61">
        <v>2.08</v>
      </c>
      <c r="G4" s="61">
        <v>1.83</v>
      </c>
      <c r="H4" s="61">
        <v>1.67</v>
      </c>
      <c r="I4" s="61">
        <v>1.55</v>
      </c>
      <c r="J4" s="61">
        <v>1.66</v>
      </c>
      <c r="K4" s="61">
        <v>1.57</v>
      </c>
      <c r="L4" s="62">
        <v>1.5</v>
      </c>
      <c r="M4" s="61">
        <v>1.44</v>
      </c>
      <c r="N4" s="61">
        <v>1.39</v>
      </c>
      <c r="O4" s="61">
        <v>1.35</v>
      </c>
      <c r="P4" s="61">
        <v>1.32</v>
      </c>
      <c r="R4" s="74" t="s">
        <v>115</v>
      </c>
      <c r="S4" s="91">
        <v>3.85</v>
      </c>
      <c r="T4" s="91">
        <v>2.2599999999999998</v>
      </c>
      <c r="U4" s="91">
        <v>1.73</v>
      </c>
      <c r="V4" s="91">
        <v>1.46</v>
      </c>
      <c r="W4" s="91">
        <v>1.3</v>
      </c>
      <c r="X4" s="91">
        <v>1.2</v>
      </c>
      <c r="Y4" s="91">
        <v>1.1200000000000001</v>
      </c>
      <c r="Z4" s="91">
        <v>1.1599999999999999</v>
      </c>
      <c r="AA4" s="91">
        <v>1.1100000000000001</v>
      </c>
      <c r="AB4" s="92">
        <v>1.06</v>
      </c>
      <c r="AC4" s="91">
        <v>1.03</v>
      </c>
      <c r="AD4" s="91">
        <v>1</v>
      </c>
      <c r="AE4" s="91">
        <v>0.97</v>
      </c>
      <c r="AF4" s="93">
        <v>0.95</v>
      </c>
    </row>
    <row r="5" spans="2:32" x14ac:dyDescent="0.25">
      <c r="B5" s="67" t="s">
        <v>60</v>
      </c>
      <c r="C5" s="61">
        <v>5.67</v>
      </c>
      <c r="D5" s="61">
        <v>3.22</v>
      </c>
      <c r="E5" s="61">
        <v>2.4</v>
      </c>
      <c r="F5" s="61">
        <v>2</v>
      </c>
      <c r="G5" s="61">
        <v>1.75</v>
      </c>
      <c r="H5" s="61">
        <v>1.59</v>
      </c>
      <c r="I5" s="61">
        <v>1.47</v>
      </c>
      <c r="J5" s="61">
        <v>1.58</v>
      </c>
      <c r="K5" s="61">
        <v>1.49</v>
      </c>
      <c r="L5" s="61">
        <v>1.42</v>
      </c>
      <c r="M5" s="61">
        <v>1.36</v>
      </c>
      <c r="N5" s="61">
        <v>1.31</v>
      </c>
      <c r="O5" s="61">
        <v>1.27</v>
      </c>
      <c r="P5" s="61">
        <v>1.23</v>
      </c>
      <c r="R5" s="74" t="s">
        <v>116</v>
      </c>
      <c r="S5" s="102">
        <v>3.78</v>
      </c>
      <c r="T5" s="102">
        <v>2.19</v>
      </c>
      <c r="U5" s="102">
        <v>1.66</v>
      </c>
      <c r="V5" s="102">
        <v>1.4</v>
      </c>
      <c r="W5" s="102">
        <v>1.24</v>
      </c>
      <c r="X5" s="102">
        <v>1.1299999999999999</v>
      </c>
      <c r="Y5" s="102">
        <v>1.06</v>
      </c>
      <c r="Z5" s="102">
        <v>1.1000000000000001</v>
      </c>
      <c r="AA5" s="102">
        <v>1.04</v>
      </c>
      <c r="AB5" s="102">
        <v>1</v>
      </c>
      <c r="AC5" s="101">
        <v>0.96</v>
      </c>
      <c r="AD5" s="101">
        <v>0.93</v>
      </c>
      <c r="AE5" s="101">
        <v>0.91</v>
      </c>
      <c r="AF5" s="94">
        <v>0.89</v>
      </c>
    </row>
    <row r="6" spans="2:32" x14ac:dyDescent="0.25">
      <c r="B6" s="67" t="s">
        <v>61</v>
      </c>
      <c r="C6" s="61">
        <v>5.59</v>
      </c>
      <c r="D6" s="61">
        <v>3.14</v>
      </c>
      <c r="E6" s="61">
        <v>2.3199999999999998</v>
      </c>
      <c r="F6" s="61">
        <v>1.91</v>
      </c>
      <c r="G6" s="61">
        <v>1.67</v>
      </c>
      <c r="H6" s="61">
        <v>1.5</v>
      </c>
      <c r="I6" s="61">
        <v>1.39</v>
      </c>
      <c r="J6" s="61">
        <v>1.5</v>
      </c>
      <c r="K6" s="61">
        <v>1.41</v>
      </c>
      <c r="L6" s="61">
        <v>1.34</v>
      </c>
      <c r="M6" s="61">
        <v>1.28</v>
      </c>
      <c r="N6" s="61">
        <v>1.23</v>
      </c>
      <c r="O6" s="61">
        <v>1.19</v>
      </c>
      <c r="P6" s="61">
        <v>1.1499999999999999</v>
      </c>
      <c r="R6" s="74" t="s">
        <v>117</v>
      </c>
      <c r="S6" s="102">
        <v>3.72</v>
      </c>
      <c r="T6" s="102">
        <v>2.13</v>
      </c>
      <c r="U6" s="102">
        <v>1.6</v>
      </c>
      <c r="V6" s="102">
        <v>1.33</v>
      </c>
      <c r="W6" s="102">
        <v>1.17</v>
      </c>
      <c r="X6" s="102">
        <v>1.07</v>
      </c>
      <c r="Y6" s="101">
        <v>0.99</v>
      </c>
      <c r="Z6" s="102">
        <v>1.07</v>
      </c>
      <c r="AA6" s="101">
        <v>0.99</v>
      </c>
      <c r="AB6" s="101">
        <v>0.93</v>
      </c>
      <c r="AC6" s="101">
        <v>0.9</v>
      </c>
      <c r="AD6" s="94">
        <v>0.87</v>
      </c>
      <c r="AE6" s="94">
        <v>0.84</v>
      </c>
      <c r="AF6" s="94">
        <v>0.82</v>
      </c>
    </row>
    <row r="7" spans="2:32" x14ac:dyDescent="0.25">
      <c r="B7" s="67" t="s">
        <v>62</v>
      </c>
      <c r="C7" s="61">
        <v>5.51</v>
      </c>
      <c r="D7" s="61">
        <v>3.05</v>
      </c>
      <c r="E7" s="61">
        <v>2.2400000000000002</v>
      </c>
      <c r="F7" s="61">
        <v>1.83</v>
      </c>
      <c r="G7" s="61">
        <v>1.58</v>
      </c>
      <c r="H7" s="61">
        <v>1.42</v>
      </c>
      <c r="I7" s="61">
        <v>1.3</v>
      </c>
      <c r="J7" s="61">
        <v>1.41</v>
      </c>
      <c r="K7" s="61">
        <v>1.32</v>
      </c>
      <c r="L7" s="61">
        <v>1.25</v>
      </c>
      <c r="M7" s="61">
        <v>1.19</v>
      </c>
      <c r="N7" s="61">
        <v>1.1399999999999999</v>
      </c>
      <c r="O7" s="61">
        <v>1.1000000000000001</v>
      </c>
      <c r="P7" s="61">
        <v>1.07</v>
      </c>
      <c r="R7" s="74" t="s">
        <v>118</v>
      </c>
      <c r="S7" s="102">
        <v>3.66</v>
      </c>
      <c r="T7" s="102">
        <v>2.06</v>
      </c>
      <c r="U7" s="102">
        <v>1.53</v>
      </c>
      <c r="V7" s="102">
        <v>1.27</v>
      </c>
      <c r="W7" s="102">
        <v>1.1100000000000001</v>
      </c>
      <c r="X7" s="102">
        <v>1</v>
      </c>
      <c r="Y7" s="101">
        <v>0.93</v>
      </c>
      <c r="Z7" s="101">
        <v>0.97</v>
      </c>
      <c r="AA7" s="101">
        <v>0.91</v>
      </c>
      <c r="AB7" s="94">
        <v>0.87</v>
      </c>
      <c r="AC7" s="94">
        <v>0.83</v>
      </c>
      <c r="AD7" s="94">
        <v>0.8</v>
      </c>
      <c r="AE7" s="94">
        <v>0.78</v>
      </c>
      <c r="AF7" s="94">
        <v>0.76</v>
      </c>
    </row>
    <row r="8" spans="2:32" x14ac:dyDescent="0.25">
      <c r="B8" s="67" t="s">
        <v>63</v>
      </c>
      <c r="C8" s="61">
        <v>5.42</v>
      </c>
      <c r="D8" s="61">
        <v>2.97</v>
      </c>
      <c r="E8" s="61">
        <v>2.15</v>
      </c>
      <c r="F8" s="61">
        <v>1.75</v>
      </c>
      <c r="G8" s="61">
        <v>1.5</v>
      </c>
      <c r="H8" s="61">
        <v>1.34</v>
      </c>
      <c r="I8" s="61">
        <v>1.22</v>
      </c>
      <c r="J8" s="61">
        <v>1.33</v>
      </c>
      <c r="K8" s="61">
        <v>1.24</v>
      </c>
      <c r="L8" s="61">
        <v>1.17</v>
      </c>
      <c r="M8" s="61">
        <v>1.1100000000000001</v>
      </c>
      <c r="N8" s="61">
        <v>1.06</v>
      </c>
      <c r="O8" s="61">
        <v>1.02</v>
      </c>
      <c r="P8" s="61">
        <v>0.98</v>
      </c>
      <c r="R8" s="74" t="s">
        <v>119</v>
      </c>
      <c r="S8" s="102">
        <v>3.59</v>
      </c>
      <c r="T8" s="102">
        <v>2</v>
      </c>
      <c r="U8" s="102">
        <v>1.47</v>
      </c>
      <c r="V8" s="102">
        <v>1.2</v>
      </c>
      <c r="W8" s="102">
        <v>1.04</v>
      </c>
      <c r="X8" s="101">
        <v>0.94</v>
      </c>
      <c r="Y8" s="94">
        <v>0.86</v>
      </c>
      <c r="Z8" s="101">
        <v>0.9</v>
      </c>
      <c r="AA8" s="94">
        <v>0.85</v>
      </c>
      <c r="AB8" s="94">
        <v>0.81</v>
      </c>
      <c r="AC8" s="94">
        <v>0.77</v>
      </c>
      <c r="AD8" s="94">
        <v>0.74</v>
      </c>
      <c r="AE8" s="94">
        <v>0.71</v>
      </c>
      <c r="AF8" s="94">
        <v>0.69</v>
      </c>
    </row>
    <row r="9" spans="2:32" x14ac:dyDescent="0.25">
      <c r="B9" s="67" t="s">
        <v>64</v>
      </c>
      <c r="C9" s="61">
        <v>5.34</v>
      </c>
      <c r="D9" s="61">
        <v>2.89</v>
      </c>
      <c r="E9" s="61">
        <v>2.0699999999999998</v>
      </c>
      <c r="F9" s="61">
        <v>1.66</v>
      </c>
      <c r="G9" s="61">
        <v>1.42</v>
      </c>
      <c r="H9" s="61">
        <v>1.25</v>
      </c>
      <c r="I9" s="61">
        <v>1.1399999999999999</v>
      </c>
      <c r="J9" s="61">
        <v>1.25</v>
      </c>
      <c r="K9" s="61">
        <v>1.1599999999999999</v>
      </c>
      <c r="L9" s="61">
        <v>1.0900000000000001</v>
      </c>
      <c r="M9" s="61">
        <v>1.03</v>
      </c>
      <c r="N9" s="61">
        <v>0.98</v>
      </c>
      <c r="O9" s="61">
        <v>0.94</v>
      </c>
      <c r="P9" s="61">
        <v>0.9</v>
      </c>
      <c r="R9" s="74" t="s">
        <v>120</v>
      </c>
      <c r="S9" s="102">
        <v>3.53</v>
      </c>
      <c r="T9" s="102">
        <v>1.93</v>
      </c>
      <c r="U9" s="102">
        <v>1.4</v>
      </c>
      <c r="V9" s="102">
        <v>1.1399999999999999</v>
      </c>
      <c r="W9" s="101">
        <v>0.98</v>
      </c>
      <c r="X9" s="94">
        <v>0.87</v>
      </c>
      <c r="Y9" s="94">
        <v>0.8</v>
      </c>
      <c r="Z9" s="94">
        <v>0.84</v>
      </c>
      <c r="AA9" s="94">
        <v>0.79</v>
      </c>
      <c r="AB9" s="94">
        <v>0.74</v>
      </c>
      <c r="AC9" s="94">
        <v>0.7</v>
      </c>
      <c r="AD9" s="94">
        <v>0.67</v>
      </c>
      <c r="AE9" s="94">
        <v>0.65</v>
      </c>
      <c r="AF9" s="94">
        <v>0.63</v>
      </c>
    </row>
    <row r="10" spans="2:32" x14ac:dyDescent="0.25">
      <c r="B10" s="67" t="s">
        <v>65</v>
      </c>
      <c r="C10" s="61">
        <v>5.26</v>
      </c>
      <c r="D10" s="61">
        <v>2.81</v>
      </c>
      <c r="E10" s="61">
        <v>1.99</v>
      </c>
      <c r="F10" s="61">
        <v>1.58</v>
      </c>
      <c r="G10" s="61">
        <v>1.33</v>
      </c>
      <c r="H10" s="61">
        <v>1.17</v>
      </c>
      <c r="I10" s="61">
        <v>1.05</v>
      </c>
      <c r="J10" s="61">
        <v>1.1599999999999999</v>
      </c>
      <c r="K10" s="61">
        <v>1.07</v>
      </c>
      <c r="L10" s="61">
        <v>1</v>
      </c>
      <c r="M10" s="61">
        <v>0.94</v>
      </c>
      <c r="N10" s="61">
        <v>0.89</v>
      </c>
      <c r="O10" s="61">
        <v>0.85</v>
      </c>
      <c r="P10" s="61">
        <v>0.82</v>
      </c>
      <c r="R10" s="74" t="s">
        <v>121</v>
      </c>
      <c r="S10" s="102">
        <v>3.46</v>
      </c>
      <c r="T10" s="102">
        <v>1.87</v>
      </c>
      <c r="U10" s="102">
        <v>1.34</v>
      </c>
      <c r="V10" s="102">
        <v>1.07</v>
      </c>
      <c r="W10" s="101">
        <v>0.92</v>
      </c>
      <c r="X10" s="94">
        <v>0.81</v>
      </c>
      <c r="Y10" s="94">
        <v>0.73</v>
      </c>
      <c r="Z10" s="94">
        <v>0.78</v>
      </c>
      <c r="AA10" s="94">
        <v>0.72</v>
      </c>
      <c r="AB10" s="94">
        <v>0.68</v>
      </c>
      <c r="AC10" s="94">
        <v>0.64</v>
      </c>
      <c r="AD10" s="94">
        <v>0.61</v>
      </c>
      <c r="AE10" s="94">
        <v>0.57999999999999996</v>
      </c>
      <c r="AF10" s="94">
        <v>0.56000000000000005</v>
      </c>
    </row>
    <row r="11" spans="2:32" x14ac:dyDescent="0.25">
      <c r="B11" s="67" t="s">
        <v>66</v>
      </c>
      <c r="C11" s="61">
        <v>5.17</v>
      </c>
      <c r="D11" s="61">
        <v>2.72</v>
      </c>
      <c r="E11" s="64">
        <v>1.9</v>
      </c>
      <c r="F11" s="64">
        <v>1.5</v>
      </c>
      <c r="G11" s="64">
        <v>1.25</v>
      </c>
      <c r="H11" s="64">
        <v>1.0900000000000001</v>
      </c>
      <c r="I11" s="64">
        <v>0.97</v>
      </c>
      <c r="J11" s="64">
        <v>1.08</v>
      </c>
      <c r="K11" s="64">
        <v>0.99</v>
      </c>
      <c r="L11" s="64">
        <v>0.92</v>
      </c>
      <c r="M11" s="64">
        <v>0.86</v>
      </c>
      <c r="N11" s="64">
        <v>0.81</v>
      </c>
      <c r="O11" s="64">
        <v>0.77</v>
      </c>
      <c r="P11" s="64">
        <v>0.73</v>
      </c>
      <c r="R11" s="74" t="s">
        <v>122</v>
      </c>
      <c r="S11" s="94">
        <v>3.4</v>
      </c>
      <c r="T11" s="94">
        <v>1.81</v>
      </c>
      <c r="U11" s="94">
        <v>1.28</v>
      </c>
      <c r="V11" s="94">
        <v>1.01</v>
      </c>
      <c r="W11" s="94">
        <v>0.85</v>
      </c>
      <c r="X11" s="94">
        <v>0.75</v>
      </c>
      <c r="Y11" s="94">
        <v>0.67</v>
      </c>
      <c r="Z11" s="94">
        <v>0.71</v>
      </c>
      <c r="AA11" s="94">
        <v>0.66</v>
      </c>
      <c r="AB11" s="94">
        <v>0.61</v>
      </c>
      <c r="AC11" s="94">
        <v>0.57999999999999996</v>
      </c>
      <c r="AD11" s="94">
        <v>0.55000000000000004</v>
      </c>
      <c r="AE11" s="94">
        <v>0.52</v>
      </c>
      <c r="AF11" s="94">
        <v>0.5</v>
      </c>
    </row>
    <row r="12" spans="2:32" x14ac:dyDescent="0.25">
      <c r="B12" s="67" t="s">
        <v>55</v>
      </c>
      <c r="C12" s="61">
        <v>5.09</v>
      </c>
      <c r="D12" s="61">
        <v>2.64</v>
      </c>
      <c r="E12" s="64">
        <v>1.82</v>
      </c>
      <c r="F12" s="64">
        <v>1.41</v>
      </c>
      <c r="G12" s="64">
        <v>1.17</v>
      </c>
      <c r="H12" s="64">
        <v>1</v>
      </c>
      <c r="I12" s="64">
        <v>0.89</v>
      </c>
      <c r="J12" s="64">
        <v>1</v>
      </c>
      <c r="K12" s="64">
        <v>0.91</v>
      </c>
      <c r="L12" s="64">
        <v>0.84</v>
      </c>
      <c r="M12" s="64">
        <v>0.78</v>
      </c>
      <c r="N12" s="64">
        <v>0.73</v>
      </c>
      <c r="O12" s="64">
        <v>0.69</v>
      </c>
      <c r="P12" s="64">
        <v>0.65</v>
      </c>
      <c r="R12" s="74" t="s">
        <v>123</v>
      </c>
      <c r="S12" s="94">
        <v>3.33</v>
      </c>
      <c r="T12" s="94">
        <v>1.74</v>
      </c>
      <c r="U12" s="94">
        <v>1.21</v>
      </c>
      <c r="V12" s="94">
        <v>0.95</v>
      </c>
      <c r="W12" s="94">
        <v>0.79</v>
      </c>
      <c r="X12" s="94">
        <v>0.68</v>
      </c>
      <c r="Y12" s="94">
        <v>0.6</v>
      </c>
      <c r="Z12" s="94">
        <v>0.65</v>
      </c>
      <c r="AA12" s="94">
        <v>0.59</v>
      </c>
      <c r="AB12" s="94">
        <v>0.55000000000000004</v>
      </c>
      <c r="AC12" s="94">
        <v>0.51</v>
      </c>
      <c r="AD12" s="94">
        <v>0.48</v>
      </c>
      <c r="AE12" s="94">
        <v>0.46</v>
      </c>
      <c r="AF12" s="94">
        <v>0.43</v>
      </c>
    </row>
    <row r="13" spans="2:32" x14ac:dyDescent="0.25">
      <c r="B13" s="67" t="s">
        <v>67</v>
      </c>
      <c r="C13" s="64">
        <v>5.01</v>
      </c>
      <c r="D13" s="64">
        <v>2.56</v>
      </c>
      <c r="E13" s="64">
        <v>1.74</v>
      </c>
      <c r="F13" s="64">
        <v>1.33</v>
      </c>
      <c r="G13" s="64">
        <v>1.08</v>
      </c>
      <c r="H13" s="64">
        <v>0.92</v>
      </c>
      <c r="I13" s="64">
        <v>0.8</v>
      </c>
      <c r="J13" s="64">
        <v>0.92</v>
      </c>
      <c r="K13" s="64">
        <v>0.82</v>
      </c>
      <c r="L13" s="64">
        <v>0.75</v>
      </c>
      <c r="M13" s="64">
        <v>0.69</v>
      </c>
      <c r="N13" s="64">
        <v>0.64</v>
      </c>
      <c r="O13" s="64">
        <v>0.6</v>
      </c>
      <c r="P13" s="64">
        <v>0.56999999999999995</v>
      </c>
      <c r="R13" s="74" t="s">
        <v>124</v>
      </c>
      <c r="S13" s="94">
        <v>3.27</v>
      </c>
      <c r="T13" s="94">
        <v>1.68</v>
      </c>
      <c r="U13" s="94">
        <v>1.1499999999999999</v>
      </c>
      <c r="V13" s="94">
        <v>0.88</v>
      </c>
      <c r="W13" s="94">
        <v>0.72</v>
      </c>
      <c r="X13" s="94">
        <v>0.62</v>
      </c>
      <c r="Y13" s="94">
        <v>0.54</v>
      </c>
      <c r="Z13" s="94">
        <v>0.57999999999999996</v>
      </c>
      <c r="AA13" s="94">
        <v>0.53</v>
      </c>
      <c r="AB13" s="94">
        <v>0.48</v>
      </c>
      <c r="AC13" s="94">
        <v>0.45</v>
      </c>
      <c r="AD13" s="94">
        <v>0.42</v>
      </c>
      <c r="AE13" s="94">
        <v>0.39</v>
      </c>
      <c r="AF13" s="94">
        <v>0.37</v>
      </c>
    </row>
    <row r="14" spans="2:32" x14ac:dyDescent="0.25">
      <c r="B14" s="69" t="s">
        <v>57</v>
      </c>
      <c r="C14" s="65">
        <v>3.6</v>
      </c>
      <c r="D14" s="65">
        <v>1.89</v>
      </c>
      <c r="E14" s="65">
        <v>1.32</v>
      </c>
      <c r="F14" s="65">
        <v>1.04</v>
      </c>
      <c r="G14" s="65">
        <v>0.87</v>
      </c>
      <c r="H14" s="65">
        <v>0.75</v>
      </c>
      <c r="I14" s="65">
        <v>0.67</v>
      </c>
      <c r="J14" s="65">
        <v>0.81</v>
      </c>
      <c r="K14" s="65">
        <v>0.74</v>
      </c>
      <c r="L14" s="65">
        <v>0.69</v>
      </c>
      <c r="M14" s="65">
        <v>0.64</v>
      </c>
      <c r="N14" s="65">
        <v>0.6</v>
      </c>
      <c r="O14" s="65">
        <v>0.56999999999999995</v>
      </c>
      <c r="P14" s="65">
        <v>0.54</v>
      </c>
      <c r="R14" s="95" t="s">
        <v>57</v>
      </c>
      <c r="S14" s="96">
        <v>3.6</v>
      </c>
      <c r="T14" s="96">
        <v>1.89</v>
      </c>
      <c r="U14" s="96">
        <v>1.32</v>
      </c>
      <c r="V14" s="96">
        <v>1.04</v>
      </c>
      <c r="W14" s="96">
        <v>0.87</v>
      </c>
      <c r="X14" s="96">
        <v>0.75</v>
      </c>
      <c r="Y14" s="96">
        <v>0.67</v>
      </c>
      <c r="Z14" s="96">
        <v>0.81</v>
      </c>
      <c r="AA14" s="96">
        <v>0.74</v>
      </c>
      <c r="AB14" s="96">
        <v>0.69</v>
      </c>
      <c r="AC14" s="96">
        <v>0.64</v>
      </c>
      <c r="AD14" s="96">
        <v>0.6</v>
      </c>
      <c r="AE14" s="96">
        <v>0.56999999999999995</v>
      </c>
      <c r="AF14" s="97">
        <v>0.54</v>
      </c>
    </row>
    <row r="15" spans="2:32" x14ac:dyDescent="0.25">
      <c r="B15" s="68" t="s">
        <v>72</v>
      </c>
      <c r="C15" s="66">
        <v>3.19</v>
      </c>
      <c r="D15" s="66">
        <v>1.77</v>
      </c>
      <c r="E15" s="66">
        <v>1.29</v>
      </c>
      <c r="F15" s="66">
        <v>1.06</v>
      </c>
      <c r="G15" s="66">
        <v>0.92</v>
      </c>
      <c r="H15" s="66">
        <v>0.82</v>
      </c>
      <c r="I15" s="66">
        <v>0.75</v>
      </c>
      <c r="J15" s="66">
        <v>0.88</v>
      </c>
      <c r="K15" s="66">
        <v>0.82</v>
      </c>
      <c r="L15" s="66">
        <v>0.78</v>
      </c>
      <c r="M15" s="66">
        <v>0.94</v>
      </c>
      <c r="N15" s="66">
        <v>0.89</v>
      </c>
      <c r="O15" s="66">
        <v>0.85</v>
      </c>
      <c r="P15" s="66">
        <v>0.82</v>
      </c>
      <c r="R15" s="98" t="s">
        <v>72</v>
      </c>
      <c r="S15" s="99">
        <v>3.19</v>
      </c>
      <c r="T15" s="99">
        <v>1.77</v>
      </c>
      <c r="U15" s="99">
        <v>1.29</v>
      </c>
      <c r="V15" s="99">
        <v>1.06</v>
      </c>
      <c r="W15" s="99">
        <v>0.92</v>
      </c>
      <c r="X15" s="99">
        <v>0.82</v>
      </c>
      <c r="Y15" s="99">
        <v>0.75</v>
      </c>
      <c r="Z15" s="99">
        <v>0.88</v>
      </c>
      <c r="AA15" s="99">
        <v>0.82</v>
      </c>
      <c r="AB15" s="99">
        <v>0.78</v>
      </c>
      <c r="AC15" s="99">
        <v>0.94</v>
      </c>
      <c r="AD15" s="99">
        <v>0.89</v>
      </c>
      <c r="AE15" s="99">
        <v>0.85</v>
      </c>
      <c r="AF15" s="100">
        <v>0.82</v>
      </c>
    </row>
    <row r="16" spans="2:32" x14ac:dyDescent="0.25">
      <c r="B16" s="68" t="s">
        <v>71</v>
      </c>
      <c r="C16" s="66">
        <v>3.15</v>
      </c>
      <c r="D16" s="66">
        <v>1.73</v>
      </c>
      <c r="E16" s="66">
        <v>1.26</v>
      </c>
      <c r="F16" s="66">
        <v>1.03</v>
      </c>
      <c r="G16" s="66">
        <v>0.88</v>
      </c>
      <c r="H16" s="66">
        <v>0.79</v>
      </c>
      <c r="I16" s="66">
        <v>0.72</v>
      </c>
      <c r="J16" s="66">
        <v>0.85</v>
      </c>
      <c r="K16" s="66">
        <v>0.79</v>
      </c>
      <c r="L16" s="66">
        <v>0.74</v>
      </c>
      <c r="M16" s="66">
        <v>0.7</v>
      </c>
      <c r="N16" s="66">
        <v>0.67</v>
      </c>
      <c r="O16" s="66">
        <v>0.65</v>
      </c>
      <c r="P16" s="66">
        <v>0.62</v>
      </c>
      <c r="R16" s="98" t="s">
        <v>71</v>
      </c>
      <c r="S16" s="99">
        <v>3.15</v>
      </c>
      <c r="T16" s="99">
        <v>1.73</v>
      </c>
      <c r="U16" s="99">
        <v>1.26</v>
      </c>
      <c r="V16" s="99">
        <v>1.03</v>
      </c>
      <c r="W16" s="99">
        <v>0.88</v>
      </c>
      <c r="X16" s="99">
        <v>0.79</v>
      </c>
      <c r="Y16" s="99">
        <v>0.72</v>
      </c>
      <c r="Z16" s="99">
        <v>0.85</v>
      </c>
      <c r="AA16" s="99">
        <v>0.79</v>
      </c>
      <c r="AB16" s="99">
        <v>0.74</v>
      </c>
      <c r="AC16" s="99">
        <v>0.7</v>
      </c>
      <c r="AD16" s="99">
        <v>0.67</v>
      </c>
      <c r="AE16" s="99">
        <v>0.65</v>
      </c>
      <c r="AF16" s="100">
        <v>0.62</v>
      </c>
    </row>
    <row r="17" spans="2:32" x14ac:dyDescent="0.25">
      <c r="B17" s="68" t="s">
        <v>58</v>
      </c>
      <c r="C17" s="66">
        <v>3.12</v>
      </c>
      <c r="D17" s="66">
        <v>1.7</v>
      </c>
      <c r="E17" s="66">
        <v>1.23</v>
      </c>
      <c r="F17" s="66">
        <v>0.99</v>
      </c>
      <c r="G17" s="66">
        <v>0.85</v>
      </c>
      <c r="H17" s="66">
        <v>0.76</v>
      </c>
      <c r="I17" s="66">
        <v>0.69</v>
      </c>
      <c r="J17" s="66">
        <v>0.82</v>
      </c>
      <c r="K17" s="66">
        <v>0.76</v>
      </c>
      <c r="L17" s="66">
        <v>0.71</v>
      </c>
      <c r="M17" s="66">
        <v>0.67</v>
      </c>
      <c r="N17" s="66">
        <v>0.64</v>
      </c>
      <c r="O17" s="66">
        <v>0.61</v>
      </c>
      <c r="P17" s="66">
        <v>0.59</v>
      </c>
      <c r="R17" s="98" t="s">
        <v>58</v>
      </c>
      <c r="S17" s="99">
        <v>3.12</v>
      </c>
      <c r="T17" s="99">
        <v>1.7</v>
      </c>
      <c r="U17" s="99">
        <v>1.23</v>
      </c>
      <c r="V17" s="99">
        <v>0.99</v>
      </c>
      <c r="W17" s="99">
        <v>0.85</v>
      </c>
      <c r="X17" s="99">
        <v>0.76</v>
      </c>
      <c r="Y17" s="99">
        <v>0.69</v>
      </c>
      <c r="Z17" s="99">
        <v>0.82</v>
      </c>
      <c r="AA17" s="99">
        <v>0.76</v>
      </c>
      <c r="AB17" s="99">
        <v>0.71</v>
      </c>
      <c r="AC17" s="99">
        <v>0.67</v>
      </c>
      <c r="AD17" s="99">
        <v>0.64</v>
      </c>
      <c r="AE17" s="99">
        <v>0.61</v>
      </c>
      <c r="AF17" s="100">
        <v>0.59</v>
      </c>
    </row>
    <row r="18" spans="2:32" x14ac:dyDescent="0.25">
      <c r="B18" t="s">
        <v>103</v>
      </c>
      <c r="C18" s="65">
        <v>3.72</v>
      </c>
      <c r="D18" s="65">
        <v>2.0099999999999998</v>
      </c>
      <c r="E18" s="65">
        <v>1.45</v>
      </c>
      <c r="F18" s="65">
        <v>1.1599999999999999</v>
      </c>
      <c r="G18" s="65">
        <v>0.99</v>
      </c>
      <c r="H18" s="65">
        <v>0.88</v>
      </c>
      <c r="I18" s="65">
        <v>0.8</v>
      </c>
      <c r="J18" s="65">
        <v>0.93</v>
      </c>
      <c r="K18" s="65">
        <v>0.86</v>
      </c>
      <c r="L18" s="65">
        <v>0.81</v>
      </c>
      <c r="M18" s="65">
        <v>0.76</v>
      </c>
      <c r="N18" s="65">
        <v>0.73</v>
      </c>
      <c r="O18" s="65">
        <v>0.69</v>
      </c>
      <c r="P18" s="65">
        <v>0.67</v>
      </c>
      <c r="R18" s="85" t="s">
        <v>103</v>
      </c>
      <c r="S18" s="96">
        <v>3.72</v>
      </c>
      <c r="T18" s="96">
        <v>2.0099999999999998</v>
      </c>
      <c r="U18" s="96">
        <v>1.45</v>
      </c>
      <c r="V18" s="96">
        <v>1.1599999999999999</v>
      </c>
      <c r="W18" s="96">
        <v>0.99</v>
      </c>
      <c r="X18" s="96">
        <v>0.88</v>
      </c>
      <c r="Y18" s="96">
        <v>0.8</v>
      </c>
      <c r="Z18" s="96">
        <v>0.93</v>
      </c>
      <c r="AA18" s="96">
        <v>0.86</v>
      </c>
      <c r="AB18" s="96">
        <v>0.81</v>
      </c>
      <c r="AC18" s="96">
        <v>0.76</v>
      </c>
      <c r="AD18" s="96">
        <v>0.73</v>
      </c>
      <c r="AE18" s="96">
        <v>0.69</v>
      </c>
      <c r="AF18" s="97">
        <v>0.67</v>
      </c>
    </row>
    <row r="19" spans="2:32" x14ac:dyDescent="0.25">
      <c r="B19" s="10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105" t="s">
        <v>141</v>
      </c>
      <c r="S19" s="105">
        <v>2.1</v>
      </c>
      <c r="T19" s="105">
        <v>1.1599999999999999</v>
      </c>
      <c r="U19" s="105">
        <v>0.85</v>
      </c>
      <c r="V19" s="105">
        <v>0.69</v>
      </c>
      <c r="W19" s="105">
        <v>0.59</v>
      </c>
      <c r="X19" s="105">
        <v>0.53</v>
      </c>
      <c r="Y19" s="105">
        <v>0.49</v>
      </c>
      <c r="Z19" s="105">
        <v>0.55000000000000004</v>
      </c>
      <c r="AA19" s="105">
        <v>0.52</v>
      </c>
      <c r="AB19" s="105">
        <v>0.49</v>
      </c>
      <c r="AC19" s="105">
        <v>0.46</v>
      </c>
      <c r="AD19" s="105">
        <v>0.44</v>
      </c>
      <c r="AE19" s="105">
        <v>0.42</v>
      </c>
      <c r="AF19" s="105">
        <v>0.41</v>
      </c>
    </row>
    <row r="20" spans="2:32" x14ac:dyDescent="0.25">
      <c r="R20" s="54"/>
      <c r="S20" s="54"/>
      <c r="T20" s="54"/>
      <c r="U20" s="54"/>
      <c r="V20" s="54"/>
    </row>
    <row r="21" spans="2:32" x14ac:dyDescent="0.25">
      <c r="B21" t="s">
        <v>87</v>
      </c>
      <c r="C21" s="89" t="s">
        <v>127</v>
      </c>
      <c r="D21" s="89" t="s">
        <v>128</v>
      </c>
      <c r="E21" s="89" t="s">
        <v>129</v>
      </c>
      <c r="F21" s="89" t="s">
        <v>130</v>
      </c>
      <c r="G21" s="89" t="s">
        <v>131</v>
      </c>
      <c r="H21" s="89" t="s">
        <v>132</v>
      </c>
      <c r="I21" s="89" t="s">
        <v>133</v>
      </c>
      <c r="J21" s="89" t="s">
        <v>134</v>
      </c>
      <c r="K21" s="89" t="s">
        <v>135</v>
      </c>
      <c r="L21" s="89" t="s">
        <v>136</v>
      </c>
      <c r="M21" s="89" t="s">
        <v>137</v>
      </c>
      <c r="N21" s="89" t="s">
        <v>138</v>
      </c>
      <c r="O21" s="89" t="s">
        <v>139</v>
      </c>
      <c r="P21" s="89" t="s">
        <v>140</v>
      </c>
      <c r="R21" t="s">
        <v>126</v>
      </c>
      <c r="S21" s="89" t="s">
        <v>127</v>
      </c>
      <c r="T21" s="89" t="s">
        <v>128</v>
      </c>
      <c r="U21" s="89" t="s">
        <v>129</v>
      </c>
      <c r="V21" s="89" t="s">
        <v>130</v>
      </c>
      <c r="W21" s="89" t="s">
        <v>131</v>
      </c>
      <c r="X21" s="89" t="s">
        <v>132</v>
      </c>
      <c r="Y21" s="89" t="s">
        <v>133</v>
      </c>
      <c r="Z21" s="89" t="s">
        <v>134</v>
      </c>
      <c r="AA21" s="89" t="s">
        <v>135</v>
      </c>
      <c r="AB21" s="89" t="s">
        <v>136</v>
      </c>
      <c r="AC21" s="89" t="s">
        <v>137</v>
      </c>
      <c r="AD21" s="89" t="s">
        <v>138</v>
      </c>
      <c r="AE21" s="89" t="s">
        <v>139</v>
      </c>
      <c r="AF21" s="89" t="s">
        <v>140</v>
      </c>
    </row>
    <row r="22" spans="2:32" x14ac:dyDescent="0.25">
      <c r="B22" s="67" t="s">
        <v>56</v>
      </c>
      <c r="C22" s="70">
        <v>0.84</v>
      </c>
      <c r="D22" s="70">
        <v>0.94</v>
      </c>
      <c r="E22" s="70">
        <v>1.02</v>
      </c>
      <c r="F22" s="70">
        <v>1.0900000000000001</v>
      </c>
      <c r="G22" s="70">
        <v>1.1599999999999999</v>
      </c>
      <c r="H22" s="70">
        <v>1.21</v>
      </c>
      <c r="I22" s="70">
        <v>1.26</v>
      </c>
      <c r="J22" s="70">
        <v>1.03</v>
      </c>
      <c r="K22" s="70">
        <v>1.07</v>
      </c>
      <c r="L22" s="70">
        <v>1.1100000000000001</v>
      </c>
      <c r="M22" s="70">
        <v>1.1499999999999999</v>
      </c>
      <c r="N22" s="70">
        <v>1.18</v>
      </c>
      <c r="O22" s="70">
        <v>1.21</v>
      </c>
      <c r="P22" s="70">
        <v>1.24</v>
      </c>
      <c r="R22" s="74" t="s">
        <v>115</v>
      </c>
      <c r="S22" s="70">
        <f t="shared" ref="S22:AF22" si="0">S4/S$17-1</f>
        <v>0.23397435897435903</v>
      </c>
      <c r="T22" s="70">
        <f t="shared" si="0"/>
        <v>0.32941176470588229</v>
      </c>
      <c r="U22" s="70">
        <f t="shared" si="0"/>
        <v>0.4065040650406504</v>
      </c>
      <c r="V22" s="70">
        <f t="shared" si="0"/>
        <v>0.4747474747474747</v>
      </c>
      <c r="W22" s="70">
        <f t="shared" si="0"/>
        <v>0.52941176470588247</v>
      </c>
      <c r="X22" s="70">
        <f t="shared" si="0"/>
        <v>0.57894736842105265</v>
      </c>
      <c r="Y22" s="70">
        <f t="shared" si="0"/>
        <v>0.62318840579710177</v>
      </c>
      <c r="Z22" s="70">
        <f t="shared" si="0"/>
        <v>0.41463414634146334</v>
      </c>
      <c r="AA22" s="70">
        <f t="shared" si="0"/>
        <v>0.46052631578947389</v>
      </c>
      <c r="AB22" s="70">
        <f t="shared" si="0"/>
        <v>0.49295774647887347</v>
      </c>
      <c r="AC22" s="70">
        <f t="shared" si="0"/>
        <v>0.53731343283582089</v>
      </c>
      <c r="AD22" s="70">
        <f t="shared" si="0"/>
        <v>0.5625</v>
      </c>
      <c r="AE22" s="70">
        <f t="shared" si="0"/>
        <v>0.5901639344262295</v>
      </c>
      <c r="AF22" s="70">
        <f t="shared" si="0"/>
        <v>0.61016949152542366</v>
      </c>
    </row>
    <row r="23" spans="2:32" x14ac:dyDescent="0.25">
      <c r="B23" s="67" t="s">
        <v>60</v>
      </c>
      <c r="C23" s="70">
        <v>0.82</v>
      </c>
      <c r="D23" s="70">
        <v>0.89</v>
      </c>
      <c r="E23" s="70">
        <v>0.96</v>
      </c>
      <c r="F23" s="70">
        <v>1.01</v>
      </c>
      <c r="G23" s="70">
        <v>1.06</v>
      </c>
      <c r="H23" s="70">
        <v>1.1000000000000001</v>
      </c>
      <c r="I23" s="70">
        <v>1.1399999999999999</v>
      </c>
      <c r="J23" s="70">
        <v>0.93</v>
      </c>
      <c r="K23" s="70">
        <v>0.96</v>
      </c>
      <c r="L23" s="70">
        <v>0.99</v>
      </c>
      <c r="M23" s="70">
        <v>1.02</v>
      </c>
      <c r="N23" s="70">
        <v>1.05</v>
      </c>
      <c r="O23" s="70">
        <v>1.07</v>
      </c>
      <c r="P23" s="70">
        <v>1.0900000000000001</v>
      </c>
      <c r="R23" s="74" t="s">
        <v>116</v>
      </c>
      <c r="S23" s="70">
        <f>S5/S$17-1</f>
        <v>0.21153846153846145</v>
      </c>
      <c r="T23" s="70">
        <f t="shared" ref="T23:AF23" si="1">T5/T$17-1</f>
        <v>0.28823529411764715</v>
      </c>
      <c r="U23" s="70">
        <f t="shared" si="1"/>
        <v>0.34959349593495936</v>
      </c>
      <c r="V23" s="70">
        <f t="shared" si="1"/>
        <v>0.41414141414141414</v>
      </c>
      <c r="W23" s="70">
        <f t="shared" si="1"/>
        <v>0.45882352941176463</v>
      </c>
      <c r="X23" s="70">
        <f t="shared" si="1"/>
        <v>0.48684210526315774</v>
      </c>
      <c r="Y23" s="70">
        <f t="shared" si="1"/>
        <v>0.53623188405797118</v>
      </c>
      <c r="Z23" s="70">
        <f t="shared" si="1"/>
        <v>0.34146341463414642</v>
      </c>
      <c r="AA23" s="70">
        <f t="shared" si="1"/>
        <v>0.36842105263157898</v>
      </c>
      <c r="AB23" s="70">
        <f t="shared" si="1"/>
        <v>0.40845070422535223</v>
      </c>
      <c r="AC23" s="70">
        <f t="shared" si="1"/>
        <v>0.43283582089552231</v>
      </c>
      <c r="AD23" s="70">
        <f t="shared" si="1"/>
        <v>0.453125</v>
      </c>
      <c r="AE23" s="70">
        <f t="shared" si="1"/>
        <v>0.49180327868852469</v>
      </c>
      <c r="AF23" s="70">
        <f t="shared" si="1"/>
        <v>0.50847457627118664</v>
      </c>
    </row>
    <row r="24" spans="2:32" x14ac:dyDescent="0.25">
      <c r="B24" s="67" t="s">
        <v>61</v>
      </c>
      <c r="C24" s="70">
        <v>0.79</v>
      </c>
      <c r="D24" s="70">
        <v>0.84</v>
      </c>
      <c r="E24" s="70">
        <v>0.89</v>
      </c>
      <c r="F24" s="70">
        <v>0.93</v>
      </c>
      <c r="G24" s="70">
        <v>0.96</v>
      </c>
      <c r="H24" s="70">
        <v>0.99</v>
      </c>
      <c r="I24" s="70">
        <v>1.01</v>
      </c>
      <c r="J24" s="70">
        <v>0.83</v>
      </c>
      <c r="K24" s="70">
        <v>0.86</v>
      </c>
      <c r="L24" s="70">
        <v>0.88</v>
      </c>
      <c r="M24" s="70">
        <v>0.9</v>
      </c>
      <c r="N24" s="70">
        <v>0.92</v>
      </c>
      <c r="O24" s="70">
        <v>0.94</v>
      </c>
      <c r="P24" s="70">
        <v>0.95</v>
      </c>
      <c r="R24" s="74" t="s">
        <v>117</v>
      </c>
      <c r="S24" s="70">
        <f t="shared" ref="S24:AF24" si="2">S6/S$17-1</f>
        <v>0.19230769230769229</v>
      </c>
      <c r="T24" s="70">
        <f t="shared" si="2"/>
        <v>0.25294117647058822</v>
      </c>
      <c r="U24" s="70">
        <f t="shared" si="2"/>
        <v>0.30081300813008149</v>
      </c>
      <c r="V24" s="70">
        <f t="shared" si="2"/>
        <v>0.34343434343434343</v>
      </c>
      <c r="W24" s="70">
        <f t="shared" si="2"/>
        <v>0.37647058823529411</v>
      </c>
      <c r="X24" s="70">
        <f t="shared" si="2"/>
        <v>0.40789473684210531</v>
      </c>
      <c r="Y24" s="70">
        <f t="shared" si="2"/>
        <v>0.43478260869565233</v>
      </c>
      <c r="Z24" s="70">
        <f t="shared" si="2"/>
        <v>0.30487804878048785</v>
      </c>
      <c r="AA24" s="70">
        <f t="shared" si="2"/>
        <v>0.30263157894736836</v>
      </c>
      <c r="AB24" s="70">
        <f t="shared" si="2"/>
        <v>0.3098591549295775</v>
      </c>
      <c r="AC24" s="70">
        <f t="shared" si="2"/>
        <v>0.34328358208955212</v>
      </c>
      <c r="AD24" s="70">
        <f t="shared" si="2"/>
        <v>0.359375</v>
      </c>
      <c r="AE24" s="70">
        <f t="shared" si="2"/>
        <v>0.37704918032786883</v>
      </c>
      <c r="AF24" s="70">
        <f t="shared" si="2"/>
        <v>0.38983050847457634</v>
      </c>
    </row>
    <row r="25" spans="2:32" x14ac:dyDescent="0.25">
      <c r="B25" s="67" t="s">
        <v>62</v>
      </c>
      <c r="C25" s="70">
        <v>0.76</v>
      </c>
      <c r="D25" s="70">
        <v>0.8</v>
      </c>
      <c r="E25" s="70">
        <v>0.82</v>
      </c>
      <c r="F25" s="70">
        <v>0.84</v>
      </c>
      <c r="G25" s="70">
        <v>0.86</v>
      </c>
      <c r="H25" s="70">
        <v>0.88</v>
      </c>
      <c r="I25" s="70">
        <v>0.89</v>
      </c>
      <c r="J25" s="70">
        <v>0.73</v>
      </c>
      <c r="K25" s="70">
        <v>0.75</v>
      </c>
      <c r="L25" s="70">
        <v>0.76</v>
      </c>
      <c r="M25" s="70">
        <v>0.77</v>
      </c>
      <c r="N25" s="70">
        <v>0.79</v>
      </c>
      <c r="O25" s="70">
        <v>0.8</v>
      </c>
      <c r="P25" s="70">
        <v>0.81</v>
      </c>
      <c r="R25" s="74" t="s">
        <v>118</v>
      </c>
      <c r="S25" s="70">
        <f t="shared" ref="S25:AF25" si="3">S7/S$17-1</f>
        <v>0.17307692307692313</v>
      </c>
      <c r="T25" s="70">
        <f t="shared" si="3"/>
        <v>0.21176470588235308</v>
      </c>
      <c r="U25" s="70">
        <f t="shared" si="3"/>
        <v>0.24390243902439024</v>
      </c>
      <c r="V25" s="70">
        <f t="shared" si="3"/>
        <v>0.28282828282828287</v>
      </c>
      <c r="W25" s="70">
        <f t="shared" si="3"/>
        <v>0.30588235294117672</v>
      </c>
      <c r="X25" s="70">
        <f t="shared" si="3"/>
        <v>0.31578947368421062</v>
      </c>
      <c r="Y25" s="70">
        <f t="shared" si="3"/>
        <v>0.34782608695652195</v>
      </c>
      <c r="Z25" s="70">
        <f t="shared" si="3"/>
        <v>0.18292682926829262</v>
      </c>
      <c r="AA25" s="70">
        <f t="shared" si="3"/>
        <v>0.19736842105263164</v>
      </c>
      <c r="AB25" s="70">
        <f t="shared" si="3"/>
        <v>0.22535211267605648</v>
      </c>
      <c r="AC25" s="70">
        <f t="shared" si="3"/>
        <v>0.23880597014925353</v>
      </c>
      <c r="AD25" s="70">
        <f t="shared" si="3"/>
        <v>0.25</v>
      </c>
      <c r="AE25" s="70">
        <f t="shared" si="3"/>
        <v>0.27868852459016402</v>
      </c>
      <c r="AF25" s="70">
        <f t="shared" si="3"/>
        <v>0.2881355932203391</v>
      </c>
    </row>
    <row r="26" spans="2:32" x14ac:dyDescent="0.25">
      <c r="B26" s="67" t="s">
        <v>63</v>
      </c>
      <c r="C26" s="70">
        <v>0.74</v>
      </c>
      <c r="D26" s="70">
        <v>0.75</v>
      </c>
      <c r="E26" s="70">
        <v>0.75</v>
      </c>
      <c r="F26" s="70">
        <v>0.76</v>
      </c>
      <c r="G26" s="70">
        <v>0.76</v>
      </c>
      <c r="H26" s="70">
        <v>0.77</v>
      </c>
      <c r="I26" s="70">
        <v>0.77</v>
      </c>
      <c r="J26" s="70">
        <v>0.63</v>
      </c>
      <c r="K26" s="70">
        <v>0.64</v>
      </c>
      <c r="L26" s="70">
        <v>0.64</v>
      </c>
      <c r="M26" s="70">
        <v>0.65</v>
      </c>
      <c r="N26" s="70">
        <v>0.66</v>
      </c>
      <c r="O26" s="70">
        <v>0.66</v>
      </c>
      <c r="P26" s="70">
        <v>0.67</v>
      </c>
      <c r="R26" s="74" t="s">
        <v>119</v>
      </c>
      <c r="S26" s="76">
        <f t="shared" ref="S26:AF26" si="4">S8/S$17-1</f>
        <v>0.15064102564102555</v>
      </c>
      <c r="T26" s="76">
        <f t="shared" si="4"/>
        <v>0.17647058823529416</v>
      </c>
      <c r="U26" s="76">
        <f t="shared" si="4"/>
        <v>0.19512195121951215</v>
      </c>
      <c r="V26" s="76">
        <f t="shared" si="4"/>
        <v>0.21212121212121215</v>
      </c>
      <c r="W26" s="76">
        <f t="shared" si="4"/>
        <v>0.22352941176470598</v>
      </c>
      <c r="X26" s="76">
        <f t="shared" si="4"/>
        <v>0.23684210526315774</v>
      </c>
      <c r="Y26" s="76">
        <f t="shared" si="4"/>
        <v>0.24637681159420288</v>
      </c>
      <c r="Z26" s="76">
        <f t="shared" si="4"/>
        <v>9.7560975609756184E-2</v>
      </c>
      <c r="AA26" s="76">
        <f t="shared" si="4"/>
        <v>0.11842105263157898</v>
      </c>
      <c r="AB26" s="76">
        <f t="shared" si="4"/>
        <v>0.14084507042253525</v>
      </c>
      <c r="AC26" s="76">
        <f t="shared" si="4"/>
        <v>0.14925373134328357</v>
      </c>
      <c r="AD26" s="76">
        <f t="shared" si="4"/>
        <v>0.15625</v>
      </c>
      <c r="AE26" s="76">
        <f t="shared" si="4"/>
        <v>0.16393442622950816</v>
      </c>
      <c r="AF26" s="76">
        <f t="shared" si="4"/>
        <v>0.16949152542372881</v>
      </c>
    </row>
    <row r="27" spans="2:32" x14ac:dyDescent="0.25">
      <c r="B27" s="67" t="s">
        <v>64</v>
      </c>
      <c r="C27" s="70">
        <v>0.71</v>
      </c>
      <c r="D27" s="70">
        <v>0.7</v>
      </c>
      <c r="E27" s="70">
        <v>0.69</v>
      </c>
      <c r="F27" s="70">
        <v>0.68</v>
      </c>
      <c r="G27" s="70">
        <v>0.67</v>
      </c>
      <c r="H27" s="70">
        <v>0.66</v>
      </c>
      <c r="I27" s="70">
        <v>0.65</v>
      </c>
      <c r="J27" s="70">
        <v>0.53</v>
      </c>
      <c r="K27" s="70">
        <v>0.53</v>
      </c>
      <c r="L27" s="70">
        <v>0.53</v>
      </c>
      <c r="M27" s="70">
        <v>0.53</v>
      </c>
      <c r="N27" s="70">
        <v>0.53</v>
      </c>
      <c r="O27" s="70">
        <v>0.53</v>
      </c>
      <c r="P27" s="70">
        <v>0.53</v>
      </c>
      <c r="R27" s="74" t="s">
        <v>120</v>
      </c>
      <c r="S27" s="76">
        <f t="shared" ref="S27:AF27" si="5">S9/S$17-1</f>
        <v>0.13141025641025639</v>
      </c>
      <c r="T27" s="76">
        <f t="shared" si="5"/>
        <v>0.13529411764705879</v>
      </c>
      <c r="U27" s="76">
        <f t="shared" si="5"/>
        <v>0.13821138211382111</v>
      </c>
      <c r="V27" s="76">
        <f t="shared" si="5"/>
        <v>0.15151515151515138</v>
      </c>
      <c r="W27" s="76">
        <f t="shared" si="5"/>
        <v>0.15294117647058814</v>
      </c>
      <c r="X27" s="76">
        <f t="shared" si="5"/>
        <v>0.14473684210526305</v>
      </c>
      <c r="Y27" s="76">
        <f t="shared" si="5"/>
        <v>0.15942028985507273</v>
      </c>
      <c r="Z27" s="76">
        <f t="shared" si="5"/>
        <v>2.4390243902439046E-2</v>
      </c>
      <c r="AA27" s="76">
        <f t="shared" si="5"/>
        <v>3.9473684210526327E-2</v>
      </c>
      <c r="AB27" s="76">
        <f t="shared" si="5"/>
        <v>4.2253521126760507E-2</v>
      </c>
      <c r="AC27" s="76">
        <f t="shared" si="5"/>
        <v>4.4776119402984982E-2</v>
      </c>
      <c r="AD27" s="76">
        <f t="shared" si="5"/>
        <v>4.6875E-2</v>
      </c>
      <c r="AE27" s="76">
        <f t="shared" si="5"/>
        <v>6.5573770491803351E-2</v>
      </c>
      <c r="AF27" s="76">
        <f t="shared" si="5"/>
        <v>6.7796610169491567E-2</v>
      </c>
    </row>
    <row r="28" spans="2:32" x14ac:dyDescent="0.25">
      <c r="B28" s="67" t="s">
        <v>65</v>
      </c>
      <c r="C28" s="70">
        <v>0.68</v>
      </c>
      <c r="D28" s="70">
        <v>0.65</v>
      </c>
      <c r="E28" s="70">
        <v>0.62</v>
      </c>
      <c r="F28" s="70">
        <v>0.59</v>
      </c>
      <c r="G28" s="70">
        <v>0.56999999999999995</v>
      </c>
      <c r="H28" s="70">
        <v>0.55000000000000004</v>
      </c>
      <c r="I28" s="70">
        <v>0.53</v>
      </c>
      <c r="J28" s="70">
        <v>0.42</v>
      </c>
      <c r="K28" s="70">
        <v>0.42</v>
      </c>
      <c r="L28" s="70">
        <v>0.41</v>
      </c>
      <c r="M28" s="70">
        <v>0.4</v>
      </c>
      <c r="N28" s="70">
        <v>0.4</v>
      </c>
      <c r="O28" s="70">
        <v>0.39</v>
      </c>
      <c r="P28" s="70">
        <v>0.39</v>
      </c>
      <c r="R28" s="74" t="s">
        <v>121</v>
      </c>
      <c r="S28" s="76">
        <f t="shared" ref="S28:AF28" si="6">S10/S$17-1</f>
        <v>0.10897435897435903</v>
      </c>
      <c r="T28" s="76">
        <f t="shared" si="6"/>
        <v>0.10000000000000009</v>
      </c>
      <c r="U28" s="76">
        <f t="shared" si="6"/>
        <v>8.9430894308943243E-2</v>
      </c>
      <c r="V28" s="76">
        <f t="shared" si="6"/>
        <v>8.0808080808080884E-2</v>
      </c>
      <c r="W28" s="76">
        <f t="shared" si="6"/>
        <v>8.235294117647074E-2</v>
      </c>
      <c r="X28" s="76">
        <f t="shared" si="6"/>
        <v>6.578947368421062E-2</v>
      </c>
      <c r="Y28" s="76">
        <f t="shared" si="6"/>
        <v>5.7971014492753659E-2</v>
      </c>
      <c r="Z28" s="81">
        <f t="shared" si="6"/>
        <v>-4.8780487804877981E-2</v>
      </c>
      <c r="AA28" s="81">
        <f t="shared" si="6"/>
        <v>-5.2631578947368474E-2</v>
      </c>
      <c r="AB28" s="81">
        <f t="shared" si="6"/>
        <v>-4.2253521126760396E-2</v>
      </c>
      <c r="AC28" s="81">
        <f t="shared" si="6"/>
        <v>-4.4776119402985093E-2</v>
      </c>
      <c r="AD28" s="81">
        <f t="shared" si="6"/>
        <v>-4.6875E-2</v>
      </c>
      <c r="AE28" s="81">
        <f t="shared" si="6"/>
        <v>-4.9180327868852514E-2</v>
      </c>
      <c r="AF28" s="81">
        <f t="shared" si="6"/>
        <v>-5.0847457627118509E-2</v>
      </c>
    </row>
    <row r="29" spans="2:32" x14ac:dyDescent="0.25">
      <c r="B29" s="67" t="s">
        <v>66</v>
      </c>
      <c r="C29" s="71">
        <v>0.66</v>
      </c>
      <c r="D29" s="71">
        <v>0.6</v>
      </c>
      <c r="E29" s="71">
        <v>0.55000000000000004</v>
      </c>
      <c r="F29" s="71">
        <v>0.51</v>
      </c>
      <c r="G29" s="71">
        <v>0.47</v>
      </c>
      <c r="H29" s="71">
        <v>0.44</v>
      </c>
      <c r="I29" s="71">
        <v>0.41</v>
      </c>
      <c r="J29" s="71">
        <v>0.32</v>
      </c>
      <c r="K29" s="71">
        <v>0.31</v>
      </c>
      <c r="L29" s="71">
        <v>0.28999999999999998</v>
      </c>
      <c r="M29" s="71">
        <v>0.28000000000000003</v>
      </c>
      <c r="N29" s="71">
        <v>0.27</v>
      </c>
      <c r="O29" s="71">
        <v>0.26</v>
      </c>
      <c r="P29" s="71">
        <v>0.25</v>
      </c>
      <c r="R29" s="74" t="s">
        <v>122</v>
      </c>
      <c r="S29" s="76">
        <f t="shared" ref="S29:AF29" si="7">S11/S$17-1</f>
        <v>8.9743589743589647E-2</v>
      </c>
      <c r="T29" s="76">
        <f t="shared" si="7"/>
        <v>6.4705882352941169E-2</v>
      </c>
      <c r="U29" s="76">
        <f t="shared" si="7"/>
        <v>4.0650406504065151E-2</v>
      </c>
      <c r="V29" s="76">
        <f t="shared" si="7"/>
        <v>2.020202020202011E-2</v>
      </c>
      <c r="W29" s="81">
        <f t="shared" si="7"/>
        <v>0</v>
      </c>
      <c r="X29" s="81">
        <f t="shared" si="7"/>
        <v>-1.3157894736842146E-2</v>
      </c>
      <c r="Y29" s="81">
        <f t="shared" si="7"/>
        <v>-2.8985507246376718E-2</v>
      </c>
      <c r="Z29" s="81">
        <f t="shared" si="7"/>
        <v>-0.13414634146341464</v>
      </c>
      <c r="AA29" s="81">
        <f t="shared" si="7"/>
        <v>-0.13157894736842102</v>
      </c>
      <c r="AB29" s="81">
        <f t="shared" si="7"/>
        <v>-0.14084507042253513</v>
      </c>
      <c r="AC29" s="81">
        <f t="shared" si="7"/>
        <v>-0.13432835820895539</v>
      </c>
      <c r="AD29" s="81">
        <f t="shared" si="7"/>
        <v>-0.140625</v>
      </c>
      <c r="AE29" s="81">
        <f t="shared" si="7"/>
        <v>-0.14754098360655732</v>
      </c>
      <c r="AF29" s="81">
        <f t="shared" si="7"/>
        <v>-0.15254237288135586</v>
      </c>
    </row>
    <row r="30" spans="2:32" x14ac:dyDescent="0.25">
      <c r="B30" s="67" t="s">
        <v>55</v>
      </c>
      <c r="C30" s="71">
        <v>0.63</v>
      </c>
      <c r="D30" s="71">
        <v>0.55000000000000004</v>
      </c>
      <c r="E30" s="71">
        <v>0.42</v>
      </c>
      <c r="F30" s="71">
        <v>0.42</v>
      </c>
      <c r="G30" s="71">
        <v>0.37</v>
      </c>
      <c r="H30" s="71">
        <v>0.33</v>
      </c>
      <c r="I30" s="71">
        <v>0.28999999999999998</v>
      </c>
      <c r="J30" s="71">
        <v>0.22</v>
      </c>
      <c r="K30" s="71">
        <v>0.2</v>
      </c>
      <c r="L30" s="71">
        <v>0.18</v>
      </c>
      <c r="M30" s="71">
        <v>0.16</v>
      </c>
      <c r="N30" s="71">
        <v>0.14000000000000001</v>
      </c>
      <c r="O30" s="71">
        <v>0.12</v>
      </c>
      <c r="P30" s="71">
        <v>0.1</v>
      </c>
      <c r="R30" s="74" t="s">
        <v>123</v>
      </c>
      <c r="S30" s="76">
        <f t="shared" ref="S30:AF30" si="8">S12/S$17-1</f>
        <v>6.7307692307692291E-2</v>
      </c>
      <c r="T30" s="76">
        <f t="shared" si="8"/>
        <v>2.3529411764705799E-2</v>
      </c>
      <c r="U30" s="81">
        <f t="shared" si="8"/>
        <v>-1.6260162601625994E-2</v>
      </c>
      <c r="V30" s="81">
        <f t="shared" si="8"/>
        <v>-4.0404040404040442E-2</v>
      </c>
      <c r="W30" s="81">
        <f t="shared" si="8"/>
        <v>-7.0588235294117618E-2</v>
      </c>
      <c r="X30" s="81">
        <f t="shared" si="8"/>
        <v>-0.10526315789473684</v>
      </c>
      <c r="Y30" s="81">
        <f t="shared" si="8"/>
        <v>-0.13043478260869557</v>
      </c>
      <c r="Z30" s="81">
        <f t="shared" si="8"/>
        <v>-0.20731707317073167</v>
      </c>
      <c r="AA30" s="81">
        <f t="shared" si="8"/>
        <v>-0.22368421052631582</v>
      </c>
      <c r="AB30" s="81">
        <f t="shared" si="8"/>
        <v>-0.22535211267605626</v>
      </c>
      <c r="AC30" s="81">
        <f t="shared" si="8"/>
        <v>-0.23880597014925375</v>
      </c>
      <c r="AD30" s="81">
        <f t="shared" si="8"/>
        <v>-0.25</v>
      </c>
      <c r="AE30" s="81">
        <f t="shared" si="8"/>
        <v>-0.24590163934426224</v>
      </c>
      <c r="AF30" s="81">
        <f t="shared" si="8"/>
        <v>-0.27118644067796605</v>
      </c>
    </row>
    <row r="31" spans="2:32" x14ac:dyDescent="0.25">
      <c r="B31" s="67" t="s">
        <v>67</v>
      </c>
      <c r="C31" s="71">
        <v>0.6</v>
      </c>
      <c r="D31" s="71">
        <v>0.5</v>
      </c>
      <c r="E31" s="71">
        <v>0.41</v>
      </c>
      <c r="F31" s="71">
        <v>0.34</v>
      </c>
      <c r="G31" s="71">
        <v>0.28000000000000003</v>
      </c>
      <c r="H31" s="71">
        <v>0.22</v>
      </c>
      <c r="I31" s="71">
        <v>0.17</v>
      </c>
      <c r="J31" s="71">
        <v>0.12</v>
      </c>
      <c r="K31" s="71">
        <v>0.09</v>
      </c>
      <c r="L31" s="71">
        <v>0.06</v>
      </c>
      <c r="M31" s="71">
        <v>0.03</v>
      </c>
      <c r="N31" s="71">
        <v>0.01</v>
      </c>
      <c r="O31" s="82">
        <v>-0.02</v>
      </c>
      <c r="P31" s="82">
        <v>-0.04</v>
      </c>
      <c r="R31" s="74" t="s">
        <v>124</v>
      </c>
      <c r="S31" s="76">
        <f t="shared" ref="S31:AF31" si="9">S13/S$17-1</f>
        <v>4.8076923076923128E-2</v>
      </c>
      <c r="T31" s="81">
        <f t="shared" si="9"/>
        <v>-1.1764705882352899E-2</v>
      </c>
      <c r="U31" s="81">
        <f t="shared" si="9"/>
        <v>-6.5040650406504086E-2</v>
      </c>
      <c r="V31" s="81">
        <f t="shared" si="9"/>
        <v>-0.11111111111111105</v>
      </c>
      <c r="W31" s="81">
        <f t="shared" si="9"/>
        <v>-0.15294117647058825</v>
      </c>
      <c r="X31" s="81">
        <f t="shared" si="9"/>
        <v>-0.18421052631578949</v>
      </c>
      <c r="Y31" s="81">
        <f t="shared" si="9"/>
        <v>-0.21739130434782594</v>
      </c>
      <c r="Z31" s="81">
        <f t="shared" si="9"/>
        <v>-0.29268292682926833</v>
      </c>
      <c r="AA31" s="81">
        <f t="shared" si="9"/>
        <v>-0.30263157894736836</v>
      </c>
      <c r="AB31" s="81">
        <f t="shared" si="9"/>
        <v>-0.323943661971831</v>
      </c>
      <c r="AC31" s="81">
        <f t="shared" si="9"/>
        <v>-0.32835820895522394</v>
      </c>
      <c r="AD31" s="81">
        <f t="shared" si="9"/>
        <v>-0.34375</v>
      </c>
      <c r="AE31" s="81">
        <f t="shared" si="9"/>
        <v>-0.36065573770491799</v>
      </c>
      <c r="AF31" s="81">
        <f t="shared" si="9"/>
        <v>-0.3728813559322034</v>
      </c>
    </row>
    <row r="32" spans="2:32" x14ac:dyDescent="0.25">
      <c r="B32" s="69" t="s">
        <v>57</v>
      </c>
      <c r="C32" s="72">
        <v>0.15</v>
      </c>
      <c r="D32" s="72">
        <v>0.11</v>
      </c>
      <c r="E32" s="72">
        <v>0.08</v>
      </c>
      <c r="F32" s="72">
        <v>0.05</v>
      </c>
      <c r="G32" s="72">
        <v>0.02</v>
      </c>
      <c r="H32" s="72">
        <v>0</v>
      </c>
      <c r="I32" s="72">
        <v>-0.02</v>
      </c>
      <c r="J32" s="72">
        <v>-0.01</v>
      </c>
      <c r="K32" s="72">
        <v>-0.02</v>
      </c>
      <c r="L32" s="72">
        <v>-0.04</v>
      </c>
      <c r="M32" s="72">
        <v>-0.05</v>
      </c>
      <c r="N32" s="72">
        <v>-0.06</v>
      </c>
      <c r="O32" s="72">
        <v>-7.0000000000000007E-2</v>
      </c>
      <c r="P32" s="72">
        <v>-0.08</v>
      </c>
      <c r="R32" s="69" t="s">
        <v>57</v>
      </c>
      <c r="S32" s="72">
        <v>0.15</v>
      </c>
      <c r="T32" s="72">
        <v>0.11</v>
      </c>
      <c r="U32" s="72">
        <v>0.08</v>
      </c>
      <c r="V32" s="72">
        <v>0.05</v>
      </c>
      <c r="W32" s="72">
        <v>0.02</v>
      </c>
      <c r="X32" s="72">
        <v>0</v>
      </c>
      <c r="Y32" s="72">
        <v>-0.02</v>
      </c>
      <c r="Z32" s="72">
        <v>-0.01</v>
      </c>
      <c r="AA32" s="72">
        <v>-0.02</v>
      </c>
      <c r="AB32" s="72">
        <v>-0.04</v>
      </c>
      <c r="AC32" s="72">
        <v>-0.05</v>
      </c>
      <c r="AD32" s="72">
        <v>-0.06</v>
      </c>
      <c r="AE32" s="72">
        <v>-7.0000000000000007E-2</v>
      </c>
      <c r="AF32" s="72">
        <v>-0.08</v>
      </c>
    </row>
    <row r="33" spans="2:32" x14ac:dyDescent="0.25">
      <c r="B33" s="68" t="s">
        <v>58</v>
      </c>
      <c r="C33" s="73">
        <v>0</v>
      </c>
      <c r="D33" s="73">
        <v>0</v>
      </c>
      <c r="E33" s="73">
        <v>0</v>
      </c>
      <c r="F33" s="73">
        <v>0</v>
      </c>
      <c r="G33" s="73">
        <v>0</v>
      </c>
      <c r="H33" s="73">
        <v>0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R33" s="68" t="s">
        <v>58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  <c r="Z33" s="73">
        <v>0</v>
      </c>
      <c r="AA33" s="73">
        <v>0</v>
      </c>
      <c r="AB33" s="73">
        <v>0</v>
      </c>
      <c r="AC33" s="73">
        <v>0</v>
      </c>
      <c r="AD33" s="73">
        <v>0</v>
      </c>
      <c r="AE33" s="73">
        <v>0</v>
      </c>
      <c r="AF33" s="73">
        <v>0</v>
      </c>
    </row>
    <row r="34" spans="2:32" x14ac:dyDescent="0.25">
      <c r="B34" t="s">
        <v>103</v>
      </c>
      <c r="C34" s="72">
        <f t="shared" ref="C34:I34" si="10">C18/C17-1</f>
        <v>0.19230769230769229</v>
      </c>
      <c r="D34" s="72">
        <f t="shared" si="10"/>
        <v>0.18235294117647038</v>
      </c>
      <c r="E34" s="72">
        <f t="shared" si="10"/>
        <v>0.17886178861788626</v>
      </c>
      <c r="F34" s="72">
        <f t="shared" si="10"/>
        <v>0.17171717171717171</v>
      </c>
      <c r="G34" s="72">
        <f t="shared" si="10"/>
        <v>0.16470588235294126</v>
      </c>
      <c r="H34" s="72">
        <f t="shared" si="10"/>
        <v>0.15789473684210531</v>
      </c>
      <c r="I34" s="72">
        <f t="shared" si="10"/>
        <v>0.15942028985507273</v>
      </c>
      <c r="J34" s="72">
        <v>0.19</v>
      </c>
      <c r="K34" s="72">
        <v>0.19</v>
      </c>
      <c r="L34" s="72">
        <f>L18/L17-1</f>
        <v>0.14084507042253525</v>
      </c>
      <c r="M34" s="72">
        <v>0.2</v>
      </c>
      <c r="N34" s="72">
        <f>N18/N17-1</f>
        <v>0.140625</v>
      </c>
      <c r="O34" s="72">
        <f>O18/O17-1</f>
        <v>0.13114754098360648</v>
      </c>
      <c r="P34" s="72">
        <f>P18/P17-1</f>
        <v>0.13559322033898313</v>
      </c>
      <c r="R34" t="s">
        <v>103</v>
      </c>
      <c r="S34" s="72">
        <f t="shared" ref="S34:Y34" si="11">S18/S17-1</f>
        <v>0.19230769230769229</v>
      </c>
      <c r="T34" s="72">
        <f t="shared" si="11"/>
        <v>0.18235294117647038</v>
      </c>
      <c r="U34" s="72">
        <f t="shared" si="11"/>
        <v>0.17886178861788626</v>
      </c>
      <c r="V34" s="72">
        <f t="shared" si="11"/>
        <v>0.17171717171717171</v>
      </c>
      <c r="W34" s="72">
        <f t="shared" si="11"/>
        <v>0.16470588235294126</v>
      </c>
      <c r="X34" s="72">
        <f t="shared" si="11"/>
        <v>0.15789473684210531</v>
      </c>
      <c r="Y34" s="72">
        <f t="shared" si="11"/>
        <v>0.15942028985507273</v>
      </c>
      <c r="Z34" s="72">
        <v>0.19</v>
      </c>
      <c r="AA34" s="72">
        <v>0.19</v>
      </c>
      <c r="AB34" s="72">
        <f>AB18/AB17-1</f>
        <v>0.14084507042253525</v>
      </c>
      <c r="AC34" s="72">
        <v>0.2</v>
      </c>
      <c r="AD34" s="72">
        <f>AD18/AD17-1</f>
        <v>0.140625</v>
      </c>
      <c r="AE34" s="72">
        <f>AE18/AE17-1</f>
        <v>0.13114754098360648</v>
      </c>
      <c r="AF34" s="72">
        <f>AF18/AF17-1</f>
        <v>0.13559322033898313</v>
      </c>
    </row>
    <row r="35" spans="2:32" x14ac:dyDescent="0.25">
      <c r="R35" s="106" t="s">
        <v>141</v>
      </c>
      <c r="S35" s="107">
        <f>S19/S15-1</f>
        <v>-0.34169278996865204</v>
      </c>
      <c r="T35" s="107">
        <f t="shared" ref="T35:AF35" si="12">T19/T17-1</f>
        <v>-0.31764705882352939</v>
      </c>
      <c r="U35" s="107">
        <f t="shared" si="12"/>
        <v>-0.30894308943089432</v>
      </c>
      <c r="V35" s="107">
        <f t="shared" si="12"/>
        <v>-0.30303030303030309</v>
      </c>
      <c r="W35" s="107">
        <f t="shared" si="12"/>
        <v>-0.30588235294117649</v>
      </c>
      <c r="X35" s="107">
        <f t="shared" si="12"/>
        <v>-0.30263157894736836</v>
      </c>
      <c r="Y35" s="107">
        <f t="shared" si="12"/>
        <v>-0.28985507246376807</v>
      </c>
      <c r="Z35" s="107">
        <f t="shared" si="12"/>
        <v>-0.32926829268292679</v>
      </c>
      <c r="AA35" s="107">
        <f t="shared" si="12"/>
        <v>-0.31578947368421051</v>
      </c>
      <c r="AB35" s="107">
        <f t="shared" si="12"/>
        <v>-0.3098591549295775</v>
      </c>
      <c r="AC35" s="107">
        <f t="shared" si="12"/>
        <v>-0.31343283582089554</v>
      </c>
      <c r="AD35" s="107">
        <f t="shared" si="12"/>
        <v>-0.3125</v>
      </c>
      <c r="AE35" s="107">
        <f t="shared" si="12"/>
        <v>-0.31147540983606559</v>
      </c>
      <c r="AF35" s="107">
        <f t="shared" si="12"/>
        <v>-0.30508474576271183</v>
      </c>
    </row>
    <row r="36" spans="2:32" x14ac:dyDescent="0.25">
      <c r="U36" s="55"/>
    </row>
    <row r="37" spans="2:32" x14ac:dyDescent="0.25">
      <c r="B37" t="s">
        <v>88</v>
      </c>
      <c r="C37" s="54" t="s">
        <v>73</v>
      </c>
      <c r="D37" s="54" t="s">
        <v>74</v>
      </c>
      <c r="E37" s="54" t="s">
        <v>75</v>
      </c>
      <c r="F37" s="54" t="s">
        <v>76</v>
      </c>
      <c r="G37" s="54" t="s">
        <v>77</v>
      </c>
      <c r="H37" s="54" t="s">
        <v>78</v>
      </c>
      <c r="I37" s="54" t="s">
        <v>79</v>
      </c>
      <c r="J37" s="54" t="s">
        <v>80</v>
      </c>
      <c r="K37" s="54" t="s">
        <v>81</v>
      </c>
      <c r="L37" s="54" t="s">
        <v>82</v>
      </c>
      <c r="M37" s="54" t="s">
        <v>83</v>
      </c>
      <c r="N37" s="54" t="s">
        <v>84</v>
      </c>
      <c r="O37" s="54" t="s">
        <v>85</v>
      </c>
      <c r="P37" s="54" t="s">
        <v>86</v>
      </c>
      <c r="R37" s="84" t="s">
        <v>59</v>
      </c>
      <c r="S37" s="89" t="s">
        <v>73</v>
      </c>
      <c r="T37" s="89" t="s">
        <v>74</v>
      </c>
      <c r="U37" s="89" t="s">
        <v>75</v>
      </c>
      <c r="V37" s="89" t="s">
        <v>76</v>
      </c>
      <c r="W37" s="89" t="s">
        <v>77</v>
      </c>
      <c r="X37" s="89" t="s">
        <v>78</v>
      </c>
      <c r="Y37" s="89" t="s">
        <v>79</v>
      </c>
      <c r="Z37" s="89" t="s">
        <v>80</v>
      </c>
      <c r="AA37" s="89" t="s">
        <v>81</v>
      </c>
      <c r="AB37" s="89" t="s">
        <v>82</v>
      </c>
      <c r="AC37" s="89" t="s">
        <v>83</v>
      </c>
      <c r="AD37" s="89" t="s">
        <v>84</v>
      </c>
      <c r="AE37" s="89" t="s">
        <v>85</v>
      </c>
      <c r="AF37" s="90" t="s">
        <v>86</v>
      </c>
    </row>
    <row r="38" spans="2:32" x14ac:dyDescent="0.25">
      <c r="B38" s="74" t="s">
        <v>56</v>
      </c>
      <c r="C38" s="75">
        <f t="shared" ref="C38:P38" si="13">C4/C$16-1</f>
        <v>0.82857142857142851</v>
      </c>
      <c r="D38" s="75">
        <f t="shared" si="13"/>
        <v>0.90751445086705185</v>
      </c>
      <c r="E38" s="75">
        <f t="shared" si="13"/>
        <v>0.97619047619047628</v>
      </c>
      <c r="F38" s="75">
        <f t="shared" si="13"/>
        <v>1.0194174757281553</v>
      </c>
      <c r="G38" s="75">
        <f t="shared" si="13"/>
        <v>1.0795454545454546</v>
      </c>
      <c r="H38" s="75">
        <f t="shared" si="13"/>
        <v>1.1139240506329111</v>
      </c>
      <c r="I38" s="75">
        <f t="shared" si="13"/>
        <v>1.1527777777777781</v>
      </c>
      <c r="J38" s="75">
        <f t="shared" si="13"/>
        <v>0.95294117647058818</v>
      </c>
      <c r="K38" s="75">
        <f t="shared" si="13"/>
        <v>0.98734177215189867</v>
      </c>
      <c r="L38" s="75">
        <f t="shared" si="13"/>
        <v>1.0270270270270272</v>
      </c>
      <c r="M38" s="75">
        <f t="shared" si="13"/>
        <v>1.0571428571428574</v>
      </c>
      <c r="N38" s="75">
        <f t="shared" si="13"/>
        <v>1.0746268656716413</v>
      </c>
      <c r="O38" s="75">
        <f t="shared" si="13"/>
        <v>1.0769230769230771</v>
      </c>
      <c r="P38" s="75">
        <f t="shared" si="13"/>
        <v>1.1290322580645165</v>
      </c>
      <c r="R38" s="74" t="s">
        <v>115</v>
      </c>
      <c r="S38" s="91">
        <v>3.38</v>
      </c>
      <c r="T38" s="91">
        <v>2.02</v>
      </c>
      <c r="U38" s="91">
        <v>1.57</v>
      </c>
      <c r="V38" s="91">
        <v>1.34</v>
      </c>
      <c r="W38" s="91">
        <v>1.21</v>
      </c>
      <c r="X38" s="91">
        <v>1.1200000000000001</v>
      </c>
      <c r="Y38" s="91">
        <v>1.05</v>
      </c>
      <c r="Z38" s="91">
        <v>1.1000000000000001</v>
      </c>
      <c r="AA38" s="91">
        <v>1.06</v>
      </c>
      <c r="AB38" s="102">
        <v>1.02</v>
      </c>
      <c r="AC38" s="102">
        <v>0.98</v>
      </c>
      <c r="AD38" s="102">
        <v>0.96</v>
      </c>
      <c r="AE38" s="102">
        <v>0.94</v>
      </c>
      <c r="AF38" s="102">
        <v>0.92</v>
      </c>
    </row>
    <row r="39" spans="2:32" x14ac:dyDescent="0.25">
      <c r="B39" s="74" t="s">
        <v>60</v>
      </c>
      <c r="C39" s="75">
        <f t="shared" ref="C39:P39" si="14">C5/C$16-1</f>
        <v>0.8</v>
      </c>
      <c r="D39" s="75">
        <f t="shared" si="14"/>
        <v>0.8612716763005781</v>
      </c>
      <c r="E39" s="75">
        <f t="shared" si="14"/>
        <v>0.90476190476190466</v>
      </c>
      <c r="F39" s="75">
        <f t="shared" si="14"/>
        <v>0.94174757281553401</v>
      </c>
      <c r="G39" s="75">
        <f t="shared" si="14"/>
        <v>0.98863636363636354</v>
      </c>
      <c r="H39" s="75">
        <f t="shared" si="14"/>
        <v>1.0126582278481013</v>
      </c>
      <c r="I39" s="75">
        <f t="shared" si="14"/>
        <v>1.0416666666666665</v>
      </c>
      <c r="J39" s="75">
        <f t="shared" si="14"/>
        <v>0.85882352941176476</v>
      </c>
      <c r="K39" s="75">
        <f t="shared" si="14"/>
        <v>0.88607594936708844</v>
      </c>
      <c r="L39" s="75">
        <f t="shared" si="14"/>
        <v>0.91891891891891886</v>
      </c>
      <c r="M39" s="75">
        <f t="shared" si="14"/>
        <v>0.94285714285714306</v>
      </c>
      <c r="N39" s="75">
        <f t="shared" si="14"/>
        <v>0.9552238805970148</v>
      </c>
      <c r="O39" s="75">
        <f t="shared" si="14"/>
        <v>0.95384615384615379</v>
      </c>
      <c r="P39" s="75">
        <f t="shared" si="14"/>
        <v>0.9838709677419355</v>
      </c>
      <c r="R39" s="74" t="s">
        <v>116</v>
      </c>
      <c r="S39" s="102">
        <v>3.31</v>
      </c>
      <c r="T39" s="102">
        <v>1.96</v>
      </c>
      <c r="U39" s="102">
        <v>1.5</v>
      </c>
      <c r="V39" s="102">
        <v>1.28</v>
      </c>
      <c r="W39" s="102">
        <v>1.1399999999999999</v>
      </c>
      <c r="X39" s="102">
        <v>1.05</v>
      </c>
      <c r="Y39" s="102">
        <v>0.99</v>
      </c>
      <c r="Z39" s="102">
        <v>1.04</v>
      </c>
      <c r="AA39" s="102">
        <v>0.99</v>
      </c>
      <c r="AB39" s="102">
        <v>0.95</v>
      </c>
      <c r="AC39" s="101">
        <v>0.92</v>
      </c>
      <c r="AD39" s="101">
        <v>0.89</v>
      </c>
      <c r="AE39" s="101">
        <v>0.87</v>
      </c>
      <c r="AF39" s="94">
        <v>0.85</v>
      </c>
    </row>
    <row r="40" spans="2:32" x14ac:dyDescent="0.25">
      <c r="B40" s="74" t="s">
        <v>61</v>
      </c>
      <c r="C40" s="75">
        <f t="shared" ref="C40:P40" si="15">C6/C$16-1</f>
        <v>0.77460317460317452</v>
      </c>
      <c r="D40" s="75">
        <f t="shared" si="15"/>
        <v>0.81502890173410414</v>
      </c>
      <c r="E40" s="75">
        <f t="shared" si="15"/>
        <v>0.84126984126984117</v>
      </c>
      <c r="F40" s="75">
        <f t="shared" si="15"/>
        <v>0.85436893203883479</v>
      </c>
      <c r="G40" s="75">
        <f t="shared" si="15"/>
        <v>0.89772727272727271</v>
      </c>
      <c r="H40" s="75">
        <f t="shared" si="15"/>
        <v>0.89873417721518978</v>
      </c>
      <c r="I40" s="75">
        <f t="shared" si="15"/>
        <v>0.93055555555555558</v>
      </c>
      <c r="J40" s="75">
        <f t="shared" si="15"/>
        <v>0.76470588235294112</v>
      </c>
      <c r="K40" s="75">
        <f t="shared" si="15"/>
        <v>0.78481012658227822</v>
      </c>
      <c r="L40" s="75">
        <f t="shared" si="15"/>
        <v>0.81081081081081097</v>
      </c>
      <c r="M40" s="75">
        <f t="shared" si="15"/>
        <v>0.82857142857142874</v>
      </c>
      <c r="N40" s="75">
        <f t="shared" si="15"/>
        <v>0.83582089552238803</v>
      </c>
      <c r="O40" s="75">
        <f t="shared" si="15"/>
        <v>0.8307692307692307</v>
      </c>
      <c r="P40" s="75">
        <f t="shared" si="15"/>
        <v>0.85483870967741926</v>
      </c>
      <c r="R40" s="74" t="s">
        <v>117</v>
      </c>
      <c r="S40" s="102">
        <v>3.25</v>
      </c>
      <c r="T40" s="102">
        <v>1.89</v>
      </c>
      <c r="U40" s="102">
        <v>1.44</v>
      </c>
      <c r="V40" s="102">
        <v>1.21</v>
      </c>
      <c r="W40" s="102">
        <v>1.08</v>
      </c>
      <c r="X40" s="102">
        <v>0.99</v>
      </c>
      <c r="Y40" s="101">
        <v>0.92</v>
      </c>
      <c r="Z40" s="102">
        <v>0.97</v>
      </c>
      <c r="AA40" s="101">
        <v>0.93</v>
      </c>
      <c r="AB40" s="101">
        <v>0.89</v>
      </c>
      <c r="AC40" s="101">
        <v>0.86</v>
      </c>
      <c r="AD40" s="94">
        <v>0.83</v>
      </c>
      <c r="AE40" s="94">
        <v>0.81</v>
      </c>
      <c r="AF40" s="94">
        <v>0.79</v>
      </c>
    </row>
    <row r="41" spans="2:32" x14ac:dyDescent="0.25">
      <c r="B41" s="74" t="s">
        <v>62</v>
      </c>
      <c r="C41" s="75">
        <f t="shared" ref="C41:P41" si="16">C7/C$16-1</f>
        <v>0.74920634920634921</v>
      </c>
      <c r="D41" s="75">
        <f t="shared" si="16"/>
        <v>0.76300578034682065</v>
      </c>
      <c r="E41" s="75">
        <f t="shared" si="16"/>
        <v>0.7777777777777779</v>
      </c>
      <c r="F41" s="75">
        <f t="shared" si="16"/>
        <v>0.77669902912621369</v>
      </c>
      <c r="G41" s="75">
        <f t="shared" si="16"/>
        <v>0.79545454545454564</v>
      </c>
      <c r="H41" s="75">
        <f t="shared" si="16"/>
        <v>0.79746835443037956</v>
      </c>
      <c r="I41" s="75">
        <f t="shared" si="16"/>
        <v>0.80555555555555558</v>
      </c>
      <c r="J41" s="75">
        <f t="shared" si="16"/>
        <v>0.65882352941176459</v>
      </c>
      <c r="K41" s="75">
        <f t="shared" si="16"/>
        <v>0.67088607594936711</v>
      </c>
      <c r="L41" s="75">
        <f t="shared" si="16"/>
        <v>0.68918918918918926</v>
      </c>
      <c r="M41" s="75">
        <f t="shared" si="16"/>
        <v>0.7</v>
      </c>
      <c r="N41" s="75">
        <f t="shared" si="16"/>
        <v>0.70149253731343264</v>
      </c>
      <c r="O41" s="75">
        <f t="shared" si="16"/>
        <v>0.69230769230769229</v>
      </c>
      <c r="P41" s="75">
        <f t="shared" si="16"/>
        <v>0.72580645161290325</v>
      </c>
      <c r="R41" s="74" t="s">
        <v>118</v>
      </c>
      <c r="S41" s="102">
        <v>3.18</v>
      </c>
      <c r="T41" s="102">
        <v>1.83</v>
      </c>
      <c r="U41" s="102">
        <v>1.38</v>
      </c>
      <c r="V41" s="102">
        <v>1.1499999999999999</v>
      </c>
      <c r="W41" s="102">
        <v>1.01</v>
      </c>
      <c r="X41" s="102">
        <v>0.92</v>
      </c>
      <c r="Y41" s="101">
        <v>0.86</v>
      </c>
      <c r="Z41" s="101">
        <v>0.91</v>
      </c>
      <c r="AA41" s="101">
        <v>0.86</v>
      </c>
      <c r="AB41" s="94">
        <v>0.82</v>
      </c>
      <c r="AC41" s="94">
        <v>0.79</v>
      </c>
      <c r="AD41" s="94">
        <v>0.76</v>
      </c>
      <c r="AE41" s="94">
        <v>0.74</v>
      </c>
      <c r="AF41" s="94">
        <v>0.72</v>
      </c>
    </row>
    <row r="42" spans="2:32" x14ac:dyDescent="0.25">
      <c r="B42" s="74" t="s">
        <v>63</v>
      </c>
      <c r="C42" s="75">
        <f t="shared" ref="C42:P42" si="17">C8/C$16-1</f>
        <v>0.72063492063492074</v>
      </c>
      <c r="D42" s="75">
        <f t="shared" si="17"/>
        <v>0.71676300578034691</v>
      </c>
      <c r="E42" s="75">
        <f t="shared" si="17"/>
        <v>0.70634920634920628</v>
      </c>
      <c r="F42" s="75">
        <f t="shared" si="17"/>
        <v>0.69902912621359214</v>
      </c>
      <c r="G42" s="75">
        <f t="shared" si="17"/>
        <v>0.70454545454545459</v>
      </c>
      <c r="H42" s="75">
        <f t="shared" si="17"/>
        <v>0.69620253164556956</v>
      </c>
      <c r="I42" s="75">
        <f t="shared" si="17"/>
        <v>0.69444444444444442</v>
      </c>
      <c r="J42" s="75">
        <f t="shared" si="17"/>
        <v>0.56470588235294139</v>
      </c>
      <c r="K42" s="75">
        <f t="shared" si="17"/>
        <v>0.56962025316455689</v>
      </c>
      <c r="L42" s="75">
        <f t="shared" si="17"/>
        <v>0.58108108108108092</v>
      </c>
      <c r="M42" s="75">
        <f t="shared" si="17"/>
        <v>0.58571428571428585</v>
      </c>
      <c r="N42" s="75">
        <f t="shared" si="17"/>
        <v>0.58208955223880587</v>
      </c>
      <c r="O42" s="75">
        <f t="shared" si="17"/>
        <v>0.56923076923076921</v>
      </c>
      <c r="P42" s="75">
        <f t="shared" si="17"/>
        <v>0.58064516129032251</v>
      </c>
      <c r="R42" s="74" t="s">
        <v>119</v>
      </c>
      <c r="S42" s="102">
        <v>3.12</v>
      </c>
      <c r="T42" s="102">
        <v>1.76</v>
      </c>
      <c r="U42" s="102">
        <v>1.31</v>
      </c>
      <c r="V42" s="102">
        <v>1.0900000000000001</v>
      </c>
      <c r="W42" s="102">
        <v>0.95</v>
      </c>
      <c r="X42" s="101">
        <v>0.86</v>
      </c>
      <c r="Y42" s="94">
        <v>0.8</v>
      </c>
      <c r="Z42" s="101">
        <v>0.85</v>
      </c>
      <c r="AA42" s="94">
        <v>0.8</v>
      </c>
      <c r="AB42" s="94">
        <v>0.76</v>
      </c>
      <c r="AC42" s="94">
        <v>0.73</v>
      </c>
      <c r="AD42" s="94">
        <v>0.7</v>
      </c>
      <c r="AE42" s="94">
        <v>0.68</v>
      </c>
      <c r="AF42" s="94">
        <v>0.66</v>
      </c>
    </row>
    <row r="43" spans="2:32" x14ac:dyDescent="0.25">
      <c r="B43" s="74" t="s">
        <v>64</v>
      </c>
      <c r="C43" s="75">
        <f t="shared" ref="C43:P43" si="18">C9/C$16-1</f>
        <v>0.69523809523809521</v>
      </c>
      <c r="D43" s="75">
        <f t="shared" si="18"/>
        <v>0.67052023121387294</v>
      </c>
      <c r="E43" s="75">
        <f t="shared" si="18"/>
        <v>0.64285714285714279</v>
      </c>
      <c r="F43" s="75">
        <f t="shared" si="18"/>
        <v>0.61165048543689315</v>
      </c>
      <c r="G43" s="75">
        <f t="shared" si="18"/>
        <v>0.61363636363636354</v>
      </c>
      <c r="H43" s="75">
        <f t="shared" si="18"/>
        <v>0.58227848101265822</v>
      </c>
      <c r="I43" s="75">
        <f t="shared" si="18"/>
        <v>0.58333333333333326</v>
      </c>
      <c r="J43" s="75">
        <f t="shared" si="18"/>
        <v>0.47058823529411775</v>
      </c>
      <c r="K43" s="75">
        <f t="shared" si="18"/>
        <v>0.46835443037974667</v>
      </c>
      <c r="L43" s="75">
        <f t="shared" si="18"/>
        <v>0.47297297297297303</v>
      </c>
      <c r="M43" s="75">
        <f t="shared" si="18"/>
        <v>0.47142857142857153</v>
      </c>
      <c r="N43" s="75">
        <f t="shared" si="18"/>
        <v>0.46268656716417889</v>
      </c>
      <c r="O43" s="75">
        <f t="shared" si="18"/>
        <v>0.44615384615384612</v>
      </c>
      <c r="P43" s="75">
        <f t="shared" si="18"/>
        <v>0.45161290322580649</v>
      </c>
      <c r="R43" s="74" t="s">
        <v>120</v>
      </c>
      <c r="S43" s="102">
        <v>3.05</v>
      </c>
      <c r="T43" s="102">
        <v>1.7</v>
      </c>
      <c r="U43" s="102">
        <v>1.25</v>
      </c>
      <c r="V43" s="102">
        <v>1.02</v>
      </c>
      <c r="W43" s="101">
        <v>0.89</v>
      </c>
      <c r="X43" s="94">
        <v>0.8</v>
      </c>
      <c r="Y43" s="94">
        <v>0.73</v>
      </c>
      <c r="Z43" s="94">
        <v>0.78</v>
      </c>
      <c r="AA43" s="94">
        <v>0.73</v>
      </c>
      <c r="AB43" s="94">
        <v>0.69</v>
      </c>
      <c r="AC43" s="94">
        <v>0.66</v>
      </c>
      <c r="AD43" s="94">
        <v>0.64</v>
      </c>
      <c r="AE43" s="94">
        <v>0.61</v>
      </c>
      <c r="AF43" s="94">
        <v>0.59</v>
      </c>
    </row>
    <row r="44" spans="2:32" x14ac:dyDescent="0.25">
      <c r="B44" s="74" t="s">
        <v>65</v>
      </c>
      <c r="C44" s="75">
        <f t="shared" ref="C44:P44" si="19">C10/C$16-1</f>
        <v>0.6698412698412699</v>
      </c>
      <c r="D44" s="75">
        <f t="shared" si="19"/>
        <v>0.62427745664739898</v>
      </c>
      <c r="E44" s="75">
        <f t="shared" si="19"/>
        <v>0.57936507936507931</v>
      </c>
      <c r="F44" s="75">
        <f t="shared" si="19"/>
        <v>0.53398058252427183</v>
      </c>
      <c r="G44" s="75">
        <f t="shared" si="19"/>
        <v>0.51136363636363646</v>
      </c>
      <c r="H44" s="75">
        <f t="shared" si="19"/>
        <v>0.481012658227848</v>
      </c>
      <c r="I44" s="75">
        <f t="shared" si="19"/>
        <v>0.45833333333333348</v>
      </c>
      <c r="J44" s="75">
        <f t="shared" si="19"/>
        <v>0.36470588235294121</v>
      </c>
      <c r="K44" s="75">
        <f t="shared" si="19"/>
        <v>0.35443037974683556</v>
      </c>
      <c r="L44" s="75">
        <f t="shared" si="19"/>
        <v>0.35135135135135132</v>
      </c>
      <c r="M44" s="75">
        <f t="shared" si="19"/>
        <v>0.34285714285714297</v>
      </c>
      <c r="N44" s="75">
        <f t="shared" si="19"/>
        <v>0.32835820895522372</v>
      </c>
      <c r="O44" s="75">
        <f t="shared" si="19"/>
        <v>0.30769230769230771</v>
      </c>
      <c r="P44" s="75">
        <f t="shared" si="19"/>
        <v>0.32258064516129026</v>
      </c>
      <c r="R44" s="74" t="s">
        <v>121</v>
      </c>
      <c r="S44" s="102">
        <v>2.99</v>
      </c>
      <c r="T44" s="102">
        <v>1.63</v>
      </c>
      <c r="U44" s="102">
        <v>1.18</v>
      </c>
      <c r="V44" s="102">
        <v>0.96</v>
      </c>
      <c r="W44" s="101">
        <v>0.82</v>
      </c>
      <c r="X44" s="94">
        <v>0.73</v>
      </c>
      <c r="Y44" s="94">
        <v>0.67</v>
      </c>
      <c r="Z44" s="94">
        <v>0.72</v>
      </c>
      <c r="AA44" s="94">
        <v>0.67</v>
      </c>
      <c r="AB44" s="94">
        <v>0.63</v>
      </c>
      <c r="AC44" s="94">
        <v>0.6</v>
      </c>
      <c r="AD44" s="94">
        <v>0.56999999999999995</v>
      </c>
      <c r="AE44" s="94">
        <v>0.55000000000000004</v>
      </c>
      <c r="AF44" s="94">
        <v>0.53</v>
      </c>
    </row>
    <row r="45" spans="2:32" x14ac:dyDescent="0.25">
      <c r="B45" s="74" t="s">
        <v>66</v>
      </c>
      <c r="C45" s="76">
        <f t="shared" ref="C45:P45" si="20">C11/C$16-1</f>
        <v>0.64126984126984121</v>
      </c>
      <c r="D45" s="76">
        <f t="shared" si="20"/>
        <v>0.57225433526011571</v>
      </c>
      <c r="E45" s="76">
        <f t="shared" si="20"/>
        <v>0.50793650793650791</v>
      </c>
      <c r="F45" s="76">
        <f t="shared" si="20"/>
        <v>0.4563106796116505</v>
      </c>
      <c r="G45" s="76">
        <f t="shared" si="20"/>
        <v>0.42045454545454541</v>
      </c>
      <c r="H45" s="76">
        <f t="shared" si="20"/>
        <v>0.379746835443038</v>
      </c>
      <c r="I45" s="76">
        <f t="shared" si="20"/>
        <v>0.34722222222222232</v>
      </c>
      <c r="J45" s="76">
        <f t="shared" si="20"/>
        <v>0.2705882352941178</v>
      </c>
      <c r="K45" s="76">
        <f t="shared" si="20"/>
        <v>0.25316455696202533</v>
      </c>
      <c r="L45" s="76">
        <f t="shared" si="20"/>
        <v>0.2432432432432432</v>
      </c>
      <c r="M45" s="76">
        <f t="shared" si="20"/>
        <v>0.22857142857142865</v>
      </c>
      <c r="N45" s="76">
        <f t="shared" si="20"/>
        <v>0.20895522388059695</v>
      </c>
      <c r="O45" s="76">
        <f t="shared" si="20"/>
        <v>0.18461538461538463</v>
      </c>
      <c r="P45" s="76">
        <f t="shared" si="20"/>
        <v>0.17741935483870974</v>
      </c>
      <c r="R45" s="74" t="s">
        <v>122</v>
      </c>
      <c r="S45" s="94">
        <v>2.92</v>
      </c>
      <c r="T45" s="94">
        <v>1.57</v>
      </c>
      <c r="U45" s="94">
        <v>1.1200000000000001</v>
      </c>
      <c r="V45" s="94">
        <v>0.89</v>
      </c>
      <c r="W45" s="94">
        <v>0.76</v>
      </c>
      <c r="X45" s="94">
        <v>0.67</v>
      </c>
      <c r="Y45" s="94">
        <v>0.6</v>
      </c>
      <c r="Z45" s="94">
        <v>0.65</v>
      </c>
      <c r="AA45" s="94">
        <v>0.6</v>
      </c>
      <c r="AB45" s="94">
        <v>0.56000000000000005</v>
      </c>
      <c r="AC45" s="94">
        <v>0.53</v>
      </c>
      <c r="AD45" s="94">
        <v>0.51</v>
      </c>
      <c r="AE45" s="94">
        <v>0.48</v>
      </c>
      <c r="AF45" s="94">
        <v>0.46</v>
      </c>
    </row>
    <row r="46" spans="2:32" x14ac:dyDescent="0.25">
      <c r="B46" s="74" t="s">
        <v>55</v>
      </c>
      <c r="C46" s="76">
        <f t="shared" ref="C46:P46" si="21">C12/C$16-1</f>
        <v>0.61587301587301591</v>
      </c>
      <c r="D46" s="76">
        <f t="shared" si="21"/>
        <v>0.52601156069364174</v>
      </c>
      <c r="E46" s="76">
        <f t="shared" si="21"/>
        <v>0.44444444444444442</v>
      </c>
      <c r="F46" s="76">
        <f t="shared" si="21"/>
        <v>0.36893203883495129</v>
      </c>
      <c r="G46" s="76">
        <f t="shared" si="21"/>
        <v>0.32954545454545436</v>
      </c>
      <c r="H46" s="76">
        <f t="shared" si="21"/>
        <v>0.26582278481012644</v>
      </c>
      <c r="I46" s="76">
        <f t="shared" si="21"/>
        <v>0.23611111111111116</v>
      </c>
      <c r="J46" s="76">
        <f t="shared" si="21"/>
        <v>0.17647058823529416</v>
      </c>
      <c r="K46" s="76">
        <f t="shared" si="21"/>
        <v>0.15189873417721511</v>
      </c>
      <c r="L46" s="76">
        <f t="shared" si="21"/>
        <v>0.13513513513513509</v>
      </c>
      <c r="M46" s="76">
        <f t="shared" si="21"/>
        <v>0.11428571428571432</v>
      </c>
      <c r="N46" s="76">
        <f t="shared" si="21"/>
        <v>8.9552238805969964E-2</v>
      </c>
      <c r="O46" s="76">
        <f t="shared" si="21"/>
        <v>6.153846153846132E-2</v>
      </c>
      <c r="P46" s="76">
        <f t="shared" si="21"/>
        <v>4.8387096774193505E-2</v>
      </c>
      <c r="R46" s="74" t="s">
        <v>123</v>
      </c>
      <c r="S46" s="94">
        <v>2.86</v>
      </c>
      <c r="T46" s="94">
        <v>1.51</v>
      </c>
      <c r="U46" s="94">
        <v>1.05</v>
      </c>
      <c r="V46" s="94">
        <v>0.83</v>
      </c>
      <c r="W46" s="94">
        <v>0.69</v>
      </c>
      <c r="X46" s="94">
        <v>0.6</v>
      </c>
      <c r="Y46" s="94">
        <v>0.54</v>
      </c>
      <c r="Z46" s="94">
        <v>0.59</v>
      </c>
      <c r="AA46" s="94">
        <v>0.54</v>
      </c>
      <c r="AB46" s="94">
        <v>0.5</v>
      </c>
      <c r="AC46" s="94">
        <v>0.47</v>
      </c>
      <c r="AD46" s="94">
        <v>0.44</v>
      </c>
      <c r="AE46" s="94">
        <v>0.42</v>
      </c>
      <c r="AF46" s="94">
        <v>0.4</v>
      </c>
    </row>
    <row r="47" spans="2:32" x14ac:dyDescent="0.25">
      <c r="B47" s="74" t="s">
        <v>67</v>
      </c>
      <c r="C47" s="76">
        <f t="shared" ref="C47:P47" si="22">C13/C$16-1</f>
        <v>0.59047619047619038</v>
      </c>
      <c r="D47" s="76">
        <f t="shared" si="22"/>
        <v>0.47976878612716778</v>
      </c>
      <c r="E47" s="76">
        <f t="shared" si="22"/>
        <v>0.38095238095238093</v>
      </c>
      <c r="F47" s="76">
        <f t="shared" si="22"/>
        <v>0.29126213592233019</v>
      </c>
      <c r="G47" s="76">
        <f t="shared" si="22"/>
        <v>0.22727272727272729</v>
      </c>
      <c r="H47" s="76">
        <f t="shared" si="22"/>
        <v>0.16455696202531644</v>
      </c>
      <c r="I47" s="76">
        <f t="shared" si="22"/>
        <v>0.11111111111111116</v>
      </c>
      <c r="J47" s="76">
        <f t="shared" si="22"/>
        <v>8.235294117647074E-2</v>
      </c>
      <c r="K47" s="76">
        <f t="shared" si="22"/>
        <v>3.7974683544303778E-2</v>
      </c>
      <c r="L47" s="76">
        <f t="shared" si="22"/>
        <v>1.3513513513513598E-2</v>
      </c>
      <c r="M47" s="81">
        <f t="shared" si="22"/>
        <v>-1.4285714285714346E-2</v>
      </c>
      <c r="N47" s="81">
        <f t="shared" si="22"/>
        <v>-4.4776119402985093E-2</v>
      </c>
      <c r="O47" s="81">
        <f t="shared" si="22"/>
        <v>-7.6923076923076983E-2</v>
      </c>
      <c r="P47" s="81">
        <f t="shared" si="22"/>
        <v>-8.064516129032262E-2</v>
      </c>
      <c r="R47" s="74" t="s">
        <v>124</v>
      </c>
      <c r="S47" s="94">
        <v>2.8</v>
      </c>
      <c r="T47" s="94">
        <v>1.44</v>
      </c>
      <c r="U47" s="94">
        <v>0.99</v>
      </c>
      <c r="V47" s="94">
        <v>0.76</v>
      </c>
      <c r="W47" s="94">
        <v>0.63</v>
      </c>
      <c r="X47" s="94">
        <v>0.54</v>
      </c>
      <c r="Y47" s="94">
        <v>0.47</v>
      </c>
      <c r="Z47" s="94">
        <v>0.52</v>
      </c>
      <c r="AA47" s="94">
        <v>0.47</v>
      </c>
      <c r="AB47" s="94">
        <v>0.44</v>
      </c>
      <c r="AC47" s="94">
        <v>0.4</v>
      </c>
      <c r="AD47" s="94">
        <v>0.38</v>
      </c>
      <c r="AE47" s="94">
        <v>0.36</v>
      </c>
      <c r="AF47" s="94">
        <v>0.34</v>
      </c>
    </row>
    <row r="48" spans="2:32" x14ac:dyDescent="0.25">
      <c r="B48" s="77" t="s">
        <v>57</v>
      </c>
      <c r="C48" s="77">
        <f t="shared" ref="C48:P48" si="23">C14/C$16-1</f>
        <v>0.14285714285714302</v>
      </c>
      <c r="D48" s="77">
        <f t="shared" si="23"/>
        <v>9.2485549132947931E-2</v>
      </c>
      <c r="E48" s="77">
        <f t="shared" si="23"/>
        <v>4.7619047619047672E-2</v>
      </c>
      <c r="F48" s="77">
        <f t="shared" si="23"/>
        <v>9.7087378640776656E-3</v>
      </c>
      <c r="G48" s="77">
        <f t="shared" si="23"/>
        <v>-1.1363636363636354E-2</v>
      </c>
      <c r="H48" s="77">
        <f t="shared" si="23"/>
        <v>-5.0632911392405111E-2</v>
      </c>
      <c r="I48" s="77">
        <f t="shared" si="23"/>
        <v>-6.9444444444444309E-2</v>
      </c>
      <c r="J48" s="77">
        <f t="shared" si="23"/>
        <v>-4.7058823529411709E-2</v>
      </c>
      <c r="K48" s="77">
        <f t="shared" si="23"/>
        <v>-6.3291139240506333E-2</v>
      </c>
      <c r="L48" s="77">
        <f t="shared" si="23"/>
        <v>-6.7567567567567655E-2</v>
      </c>
      <c r="M48" s="77">
        <f t="shared" si="23"/>
        <v>-8.5714285714285632E-2</v>
      </c>
      <c r="N48" s="77">
        <f t="shared" si="23"/>
        <v>-0.10447761194029859</v>
      </c>
      <c r="O48" s="77">
        <f t="shared" si="23"/>
        <v>-0.12307692307692319</v>
      </c>
      <c r="P48" s="77">
        <f t="shared" si="23"/>
        <v>-0.12903225806451601</v>
      </c>
      <c r="R48" s="95" t="s">
        <v>57</v>
      </c>
      <c r="S48" s="96">
        <v>3.6</v>
      </c>
      <c r="T48" s="96">
        <v>1.89</v>
      </c>
      <c r="U48" s="96">
        <v>1.32</v>
      </c>
      <c r="V48" s="96">
        <v>1.04</v>
      </c>
      <c r="W48" s="96">
        <v>0.87</v>
      </c>
      <c r="X48" s="96">
        <v>0.75</v>
      </c>
      <c r="Y48" s="96">
        <v>0.67</v>
      </c>
      <c r="Z48" s="96">
        <v>0.81</v>
      </c>
      <c r="AA48" s="96">
        <v>0.74</v>
      </c>
      <c r="AB48" s="96">
        <v>0.69</v>
      </c>
      <c r="AC48" s="96">
        <v>0.64</v>
      </c>
      <c r="AD48" s="96">
        <v>0.6</v>
      </c>
      <c r="AE48" s="96">
        <v>0.56999999999999995</v>
      </c>
      <c r="AF48" s="97">
        <v>0.54</v>
      </c>
    </row>
    <row r="49" spans="2:32" x14ac:dyDescent="0.25">
      <c r="B49" s="78" t="s">
        <v>71</v>
      </c>
      <c r="C49" s="73">
        <f t="shared" ref="C49:P49" si="24">C17/C$17-1</f>
        <v>0</v>
      </c>
      <c r="D49" s="73">
        <f t="shared" si="24"/>
        <v>0</v>
      </c>
      <c r="E49" s="73">
        <f t="shared" si="24"/>
        <v>0</v>
      </c>
      <c r="F49" s="73">
        <f t="shared" si="24"/>
        <v>0</v>
      </c>
      <c r="G49" s="73">
        <f t="shared" si="24"/>
        <v>0</v>
      </c>
      <c r="H49" s="73">
        <f t="shared" si="24"/>
        <v>0</v>
      </c>
      <c r="I49" s="73">
        <f t="shared" si="24"/>
        <v>0</v>
      </c>
      <c r="J49" s="73">
        <f t="shared" si="24"/>
        <v>0</v>
      </c>
      <c r="K49" s="73">
        <f t="shared" si="24"/>
        <v>0</v>
      </c>
      <c r="L49" s="73">
        <f t="shared" si="24"/>
        <v>0</v>
      </c>
      <c r="M49" s="73">
        <f t="shared" si="24"/>
        <v>0</v>
      </c>
      <c r="N49" s="73">
        <f t="shared" si="24"/>
        <v>0</v>
      </c>
      <c r="O49" s="73">
        <f t="shared" si="24"/>
        <v>0</v>
      </c>
      <c r="P49" s="73">
        <f t="shared" si="24"/>
        <v>0</v>
      </c>
      <c r="R49" s="98" t="s">
        <v>58</v>
      </c>
      <c r="S49" s="99">
        <v>3.12</v>
      </c>
      <c r="T49" s="99">
        <v>1.7</v>
      </c>
      <c r="U49" s="99">
        <v>1.23</v>
      </c>
      <c r="V49" s="99">
        <v>0.99</v>
      </c>
      <c r="W49" s="99">
        <v>0.85</v>
      </c>
      <c r="X49" s="99">
        <v>0.76</v>
      </c>
      <c r="Y49" s="99">
        <v>0.69</v>
      </c>
      <c r="Z49" s="99">
        <v>0.82</v>
      </c>
      <c r="AA49" s="99">
        <v>0.76</v>
      </c>
      <c r="AB49" s="99">
        <v>0.71</v>
      </c>
      <c r="AC49" s="99">
        <v>0.67</v>
      </c>
      <c r="AD49" s="99">
        <v>0.64</v>
      </c>
      <c r="AE49" s="99">
        <v>0.61</v>
      </c>
      <c r="AF49" s="100">
        <v>0.59</v>
      </c>
    </row>
    <row r="50" spans="2:32" x14ac:dyDescent="0.25">
      <c r="B50" s="86" t="s">
        <v>103</v>
      </c>
      <c r="C50" s="77">
        <f t="shared" ref="C50:P50" si="25">C18/C$17-1</f>
        <v>0.19230769230769229</v>
      </c>
      <c r="D50" s="77">
        <f t="shared" si="25"/>
        <v>0.18235294117647038</v>
      </c>
      <c r="E50" s="77">
        <f t="shared" si="25"/>
        <v>0.17886178861788626</v>
      </c>
      <c r="F50" s="77">
        <f t="shared" si="25"/>
        <v>0.17171717171717171</v>
      </c>
      <c r="G50" s="77">
        <f t="shared" si="25"/>
        <v>0.16470588235294126</v>
      </c>
      <c r="H50" s="77">
        <f t="shared" si="25"/>
        <v>0.15789473684210531</v>
      </c>
      <c r="I50" s="77">
        <f t="shared" si="25"/>
        <v>0.15942028985507273</v>
      </c>
      <c r="J50" s="77">
        <f t="shared" si="25"/>
        <v>0.13414634146341475</v>
      </c>
      <c r="K50" s="77">
        <f t="shared" si="25"/>
        <v>0.13157894736842102</v>
      </c>
      <c r="L50" s="77">
        <f t="shared" si="25"/>
        <v>0.14084507042253525</v>
      </c>
      <c r="M50" s="77">
        <f t="shared" si="25"/>
        <v>0.13432835820895517</v>
      </c>
      <c r="N50" s="77">
        <f t="shared" si="25"/>
        <v>0.140625</v>
      </c>
      <c r="O50" s="77">
        <f t="shared" si="25"/>
        <v>0.13114754098360648</v>
      </c>
      <c r="P50" s="77">
        <f t="shared" si="25"/>
        <v>0.13559322033898313</v>
      </c>
      <c r="R50" s="85" t="s">
        <v>103</v>
      </c>
      <c r="S50" s="96">
        <v>3.72</v>
      </c>
      <c r="T50" s="96">
        <v>2.0099999999999998</v>
      </c>
      <c r="U50" s="96">
        <v>1.45</v>
      </c>
      <c r="V50" s="96">
        <v>1.1599999999999999</v>
      </c>
      <c r="W50" s="96">
        <v>0.99</v>
      </c>
      <c r="X50" s="96">
        <v>0.88</v>
      </c>
      <c r="Y50" s="96">
        <v>0.8</v>
      </c>
      <c r="Z50" s="96">
        <v>0.93</v>
      </c>
      <c r="AA50" s="96">
        <v>0.86</v>
      </c>
      <c r="AB50" s="96">
        <v>0.81</v>
      </c>
      <c r="AC50" s="96">
        <v>0.76</v>
      </c>
      <c r="AD50" s="96">
        <v>0.73</v>
      </c>
      <c r="AE50" s="96">
        <v>0.69</v>
      </c>
      <c r="AF50" s="97">
        <v>0.67</v>
      </c>
    </row>
    <row r="53" spans="2:32" x14ac:dyDescent="0.25">
      <c r="B53" t="s">
        <v>90</v>
      </c>
      <c r="C53" s="54" t="s">
        <v>73</v>
      </c>
      <c r="D53" s="54" t="s">
        <v>74</v>
      </c>
      <c r="E53" s="54" t="s">
        <v>75</v>
      </c>
      <c r="F53" s="54" t="s">
        <v>76</v>
      </c>
      <c r="G53" s="54" t="s">
        <v>77</v>
      </c>
      <c r="H53" s="54" t="s">
        <v>78</v>
      </c>
      <c r="I53" s="54" t="s">
        <v>79</v>
      </c>
      <c r="J53" s="54" t="s">
        <v>80</v>
      </c>
      <c r="K53" s="54" t="s">
        <v>81</v>
      </c>
      <c r="L53" s="54" t="s">
        <v>82</v>
      </c>
      <c r="M53" s="54" t="s">
        <v>83</v>
      </c>
      <c r="N53" s="54" t="s">
        <v>84</v>
      </c>
      <c r="O53" s="54" t="s">
        <v>85</v>
      </c>
      <c r="P53" s="54" t="s">
        <v>86</v>
      </c>
      <c r="R53" t="s">
        <v>87</v>
      </c>
      <c r="S53" s="54" t="s">
        <v>73</v>
      </c>
      <c r="T53" s="54" t="s">
        <v>74</v>
      </c>
      <c r="U53" s="54" t="s">
        <v>75</v>
      </c>
      <c r="V53" s="54" t="s">
        <v>76</v>
      </c>
      <c r="W53" s="54" t="s">
        <v>77</v>
      </c>
      <c r="X53" s="54" t="s">
        <v>78</v>
      </c>
      <c r="Y53" s="54" t="s">
        <v>79</v>
      </c>
      <c r="Z53" s="54" t="s">
        <v>80</v>
      </c>
      <c r="AA53" s="54" t="s">
        <v>81</v>
      </c>
      <c r="AB53" s="54" t="s">
        <v>82</v>
      </c>
      <c r="AC53" s="54" t="s">
        <v>83</v>
      </c>
      <c r="AD53" s="54" t="s">
        <v>84</v>
      </c>
      <c r="AE53" s="54" t="s">
        <v>85</v>
      </c>
      <c r="AF53" s="54" t="s">
        <v>86</v>
      </c>
    </row>
    <row r="54" spans="2:32" x14ac:dyDescent="0.25">
      <c r="B54" s="74" t="s">
        <v>56</v>
      </c>
      <c r="C54" s="75">
        <f t="shared" ref="C54:P54" si="26">C4/C$15-1</f>
        <v>0.80564263322884</v>
      </c>
      <c r="D54" s="75">
        <f t="shared" si="26"/>
        <v>0.86440677966101687</v>
      </c>
      <c r="E54" s="75">
        <f t="shared" si="26"/>
        <v>0.93023255813953498</v>
      </c>
      <c r="F54" s="75">
        <f t="shared" si="26"/>
        <v>0.96226415094339623</v>
      </c>
      <c r="G54" s="75">
        <f t="shared" si="26"/>
        <v>0.98913043478260865</v>
      </c>
      <c r="H54" s="75">
        <f t="shared" si="26"/>
        <v>1.0365853658536586</v>
      </c>
      <c r="I54" s="75">
        <f t="shared" si="26"/>
        <v>1.0666666666666669</v>
      </c>
      <c r="J54" s="75">
        <f t="shared" si="26"/>
        <v>0.88636363636363624</v>
      </c>
      <c r="K54" s="75">
        <f t="shared" si="26"/>
        <v>0.91463414634146356</v>
      </c>
      <c r="L54" s="75">
        <f t="shared" si="26"/>
        <v>0.92307692307692291</v>
      </c>
      <c r="M54" s="75">
        <f t="shared" si="26"/>
        <v>0.53191489361702127</v>
      </c>
      <c r="N54" s="75">
        <f t="shared" si="26"/>
        <v>0.56179775280898858</v>
      </c>
      <c r="O54" s="75">
        <f t="shared" si="26"/>
        <v>0.58823529411764719</v>
      </c>
      <c r="P54" s="75">
        <f t="shared" si="26"/>
        <v>0.60975609756097571</v>
      </c>
      <c r="R54" s="67" t="s">
        <v>56</v>
      </c>
      <c r="S54" s="70">
        <f t="shared" ref="S54:AF54" si="27">S38/S$17-1</f>
        <v>8.3333333333333259E-2</v>
      </c>
      <c r="T54" s="70">
        <f t="shared" si="27"/>
        <v>0.18823529411764706</v>
      </c>
      <c r="U54" s="70">
        <f t="shared" si="27"/>
        <v>0.27642276422764245</v>
      </c>
      <c r="V54" s="70">
        <f t="shared" si="27"/>
        <v>0.35353535353535359</v>
      </c>
      <c r="W54" s="70">
        <f t="shared" si="27"/>
        <v>0.42352941176470593</v>
      </c>
      <c r="X54" s="70">
        <f t="shared" si="27"/>
        <v>0.47368421052631593</v>
      </c>
      <c r="Y54" s="70">
        <f t="shared" si="27"/>
        <v>0.52173913043478271</v>
      </c>
      <c r="Z54" s="70">
        <f t="shared" si="27"/>
        <v>0.34146341463414642</v>
      </c>
      <c r="AA54" s="70">
        <f t="shared" si="27"/>
        <v>0.39473684210526327</v>
      </c>
      <c r="AB54" s="70">
        <f t="shared" si="27"/>
        <v>0.43661971830985924</v>
      </c>
      <c r="AC54" s="70">
        <f t="shared" si="27"/>
        <v>0.46268656716417889</v>
      </c>
      <c r="AD54" s="70">
        <f t="shared" si="27"/>
        <v>0.5</v>
      </c>
      <c r="AE54" s="70">
        <f t="shared" si="27"/>
        <v>0.54098360655737698</v>
      </c>
      <c r="AF54" s="70">
        <f t="shared" si="27"/>
        <v>0.55932203389830515</v>
      </c>
    </row>
    <row r="55" spans="2:32" x14ac:dyDescent="0.25">
      <c r="B55" s="74" t="s">
        <v>60</v>
      </c>
      <c r="C55" s="75">
        <f t="shared" ref="C55:P55" si="28">C5/C$15-1</f>
        <v>0.77742946708463956</v>
      </c>
      <c r="D55" s="75">
        <f t="shared" si="28"/>
        <v>0.81920903954802271</v>
      </c>
      <c r="E55" s="75">
        <f t="shared" si="28"/>
        <v>0.86046511627906974</v>
      </c>
      <c r="F55" s="75">
        <f t="shared" si="28"/>
        <v>0.88679245283018848</v>
      </c>
      <c r="G55" s="75">
        <f t="shared" si="28"/>
        <v>0.90217391304347827</v>
      </c>
      <c r="H55" s="75">
        <f t="shared" si="28"/>
        <v>0.93902439024390261</v>
      </c>
      <c r="I55" s="75">
        <f t="shared" si="28"/>
        <v>0.96</v>
      </c>
      <c r="J55" s="75">
        <f t="shared" si="28"/>
        <v>0.79545454545454564</v>
      </c>
      <c r="K55" s="75">
        <f t="shared" si="28"/>
        <v>0.81707317073170738</v>
      </c>
      <c r="L55" s="75">
        <f t="shared" si="28"/>
        <v>0.82051282051282026</v>
      </c>
      <c r="M55" s="75">
        <f t="shared" si="28"/>
        <v>0.44680851063829796</v>
      </c>
      <c r="N55" s="75">
        <f t="shared" si="28"/>
        <v>0.4719101123595506</v>
      </c>
      <c r="O55" s="75">
        <f t="shared" si="28"/>
        <v>0.49411764705882355</v>
      </c>
      <c r="P55" s="75">
        <f t="shared" si="28"/>
        <v>0.5</v>
      </c>
      <c r="R55" s="67" t="s">
        <v>60</v>
      </c>
      <c r="S55" s="70">
        <f t="shared" ref="S55:AF55" si="29">S39/S$17-1</f>
        <v>6.0897435897435903E-2</v>
      </c>
      <c r="T55" s="70">
        <f t="shared" si="29"/>
        <v>0.15294117647058814</v>
      </c>
      <c r="U55" s="70">
        <f t="shared" si="29"/>
        <v>0.21951219512195119</v>
      </c>
      <c r="V55" s="70">
        <f t="shared" si="29"/>
        <v>0.29292929292929304</v>
      </c>
      <c r="W55" s="70">
        <f t="shared" si="29"/>
        <v>0.34117647058823519</v>
      </c>
      <c r="X55" s="70">
        <f t="shared" si="29"/>
        <v>0.38157894736842102</v>
      </c>
      <c r="Y55" s="70">
        <f t="shared" si="29"/>
        <v>0.43478260869565233</v>
      </c>
      <c r="Z55" s="70">
        <f t="shared" si="29"/>
        <v>0.26829268292682928</v>
      </c>
      <c r="AA55" s="70">
        <f t="shared" si="29"/>
        <v>0.30263157894736836</v>
      </c>
      <c r="AB55" s="70">
        <f t="shared" si="29"/>
        <v>0.3380281690140845</v>
      </c>
      <c r="AC55" s="70">
        <f t="shared" si="29"/>
        <v>0.37313432835820892</v>
      </c>
      <c r="AD55" s="70">
        <f t="shared" si="29"/>
        <v>0.390625</v>
      </c>
      <c r="AE55" s="70">
        <f t="shared" si="29"/>
        <v>0.42622950819672134</v>
      </c>
      <c r="AF55" s="70">
        <f t="shared" si="29"/>
        <v>0.44067796610169485</v>
      </c>
    </row>
    <row r="56" spans="2:32" x14ac:dyDescent="0.25">
      <c r="B56" s="74" t="s">
        <v>61</v>
      </c>
      <c r="C56" s="75">
        <f t="shared" ref="C56:P56" si="30">C6/C$15-1</f>
        <v>0.75235109717868331</v>
      </c>
      <c r="D56" s="75">
        <f t="shared" si="30"/>
        <v>0.77401129943502833</v>
      </c>
      <c r="E56" s="75">
        <f t="shared" si="30"/>
        <v>0.79844961240310064</v>
      </c>
      <c r="F56" s="75">
        <f t="shared" si="30"/>
        <v>0.80188679245283012</v>
      </c>
      <c r="G56" s="75">
        <f t="shared" si="30"/>
        <v>0.81521739130434767</v>
      </c>
      <c r="H56" s="75">
        <f t="shared" si="30"/>
        <v>0.8292682926829269</v>
      </c>
      <c r="I56" s="75">
        <f t="shared" si="30"/>
        <v>0.85333333333333328</v>
      </c>
      <c r="J56" s="75">
        <f t="shared" si="30"/>
        <v>0.70454545454545459</v>
      </c>
      <c r="K56" s="75">
        <f t="shared" si="30"/>
        <v>0.71951219512195119</v>
      </c>
      <c r="L56" s="75">
        <f t="shared" si="30"/>
        <v>0.71794871794871806</v>
      </c>
      <c r="M56" s="75">
        <f t="shared" si="30"/>
        <v>0.36170212765957466</v>
      </c>
      <c r="N56" s="75">
        <f t="shared" si="30"/>
        <v>0.3820224719101124</v>
      </c>
      <c r="O56" s="75">
        <f t="shared" si="30"/>
        <v>0.39999999999999991</v>
      </c>
      <c r="P56" s="75">
        <f t="shared" si="30"/>
        <v>0.40243902439024382</v>
      </c>
      <c r="R56" s="67" t="s">
        <v>61</v>
      </c>
      <c r="S56" s="70">
        <f t="shared" ref="S56:AF56" si="31">S40/S$17-1</f>
        <v>4.1666666666666741E-2</v>
      </c>
      <c r="T56" s="70">
        <f t="shared" si="31"/>
        <v>0.11176470588235299</v>
      </c>
      <c r="U56" s="70">
        <f t="shared" si="31"/>
        <v>0.1707317073170731</v>
      </c>
      <c r="V56" s="70">
        <f t="shared" si="31"/>
        <v>0.2222222222222221</v>
      </c>
      <c r="W56" s="70">
        <f t="shared" si="31"/>
        <v>0.2705882352941178</v>
      </c>
      <c r="X56" s="70">
        <f t="shared" si="31"/>
        <v>0.30263157894736836</v>
      </c>
      <c r="Y56" s="70">
        <f t="shared" si="31"/>
        <v>0.33333333333333348</v>
      </c>
      <c r="Z56" s="70">
        <f t="shared" si="31"/>
        <v>0.18292682926829262</v>
      </c>
      <c r="AA56" s="70">
        <f t="shared" si="31"/>
        <v>0.22368421052631593</v>
      </c>
      <c r="AB56" s="70">
        <f t="shared" si="31"/>
        <v>0.25352112676056349</v>
      </c>
      <c r="AC56" s="70">
        <f t="shared" si="31"/>
        <v>0.28358208955223874</v>
      </c>
      <c r="AD56" s="70">
        <f t="shared" si="31"/>
        <v>0.296875</v>
      </c>
      <c r="AE56" s="70">
        <f t="shared" si="31"/>
        <v>0.32786885245901654</v>
      </c>
      <c r="AF56" s="70">
        <f t="shared" si="31"/>
        <v>0.33898305084745783</v>
      </c>
    </row>
    <row r="57" spans="2:32" x14ac:dyDescent="0.25">
      <c r="B57" s="74" t="s">
        <v>62</v>
      </c>
      <c r="C57" s="75">
        <f t="shared" ref="C57:P57" si="32">C7/C$15-1</f>
        <v>0.72727272727272729</v>
      </c>
      <c r="D57" s="75">
        <f t="shared" si="32"/>
        <v>0.72316384180790938</v>
      </c>
      <c r="E57" s="75">
        <f t="shared" si="32"/>
        <v>0.73643410852713198</v>
      </c>
      <c r="F57" s="75">
        <f t="shared" si="32"/>
        <v>0.72641509433962259</v>
      </c>
      <c r="G57" s="75">
        <f t="shared" si="32"/>
        <v>0.71739130434782616</v>
      </c>
      <c r="H57" s="75">
        <f t="shared" si="32"/>
        <v>0.73170731707317072</v>
      </c>
      <c r="I57" s="75">
        <f t="shared" si="32"/>
        <v>0.73333333333333339</v>
      </c>
      <c r="J57" s="75">
        <f t="shared" si="32"/>
        <v>0.60227272727272707</v>
      </c>
      <c r="K57" s="75">
        <f t="shared" si="32"/>
        <v>0.60975609756097571</v>
      </c>
      <c r="L57" s="75">
        <f t="shared" si="32"/>
        <v>0.60256410256410242</v>
      </c>
      <c r="M57" s="75">
        <f t="shared" si="32"/>
        <v>0.26595744680851063</v>
      </c>
      <c r="N57" s="75">
        <f t="shared" si="32"/>
        <v>0.28089887640449418</v>
      </c>
      <c r="O57" s="75">
        <f t="shared" si="32"/>
        <v>0.29411764705882359</v>
      </c>
      <c r="P57" s="75">
        <f t="shared" si="32"/>
        <v>0.30487804878048785</v>
      </c>
      <c r="R57" s="67" t="s">
        <v>62</v>
      </c>
      <c r="S57" s="70">
        <f t="shared" ref="S57:AF57" si="33">S41/S$17-1</f>
        <v>1.9230769230769162E-2</v>
      </c>
      <c r="T57" s="70">
        <f t="shared" si="33"/>
        <v>7.647058823529429E-2</v>
      </c>
      <c r="U57" s="70">
        <f t="shared" si="33"/>
        <v>0.12195121951219501</v>
      </c>
      <c r="V57" s="70">
        <f t="shared" si="33"/>
        <v>0.16161616161616155</v>
      </c>
      <c r="W57" s="70">
        <f t="shared" si="33"/>
        <v>0.18823529411764706</v>
      </c>
      <c r="X57" s="70">
        <f t="shared" si="33"/>
        <v>0.21052631578947367</v>
      </c>
      <c r="Y57" s="70">
        <f t="shared" si="33"/>
        <v>0.24637681159420288</v>
      </c>
      <c r="Z57" s="70">
        <f t="shared" si="33"/>
        <v>0.10975609756097571</v>
      </c>
      <c r="AA57" s="70">
        <f t="shared" si="33"/>
        <v>0.13157894736842102</v>
      </c>
      <c r="AB57" s="70">
        <f t="shared" si="33"/>
        <v>0.15492957746478875</v>
      </c>
      <c r="AC57" s="70">
        <f t="shared" si="33"/>
        <v>0.17910447761194037</v>
      </c>
      <c r="AD57" s="70">
        <f t="shared" si="33"/>
        <v>0.1875</v>
      </c>
      <c r="AE57" s="70">
        <f t="shared" si="33"/>
        <v>0.21311475409836067</v>
      </c>
      <c r="AF57" s="70">
        <f t="shared" si="33"/>
        <v>0.22033898305084754</v>
      </c>
    </row>
    <row r="58" spans="2:32" x14ac:dyDescent="0.25">
      <c r="B58" s="74" t="s">
        <v>63</v>
      </c>
      <c r="C58" s="75">
        <f t="shared" ref="C58:P58" si="34">C8/C$15-1</f>
        <v>0.69905956112852663</v>
      </c>
      <c r="D58" s="75">
        <f t="shared" si="34"/>
        <v>0.67796610169491545</v>
      </c>
      <c r="E58" s="75">
        <f t="shared" si="34"/>
        <v>0.66666666666666652</v>
      </c>
      <c r="F58" s="75">
        <f t="shared" si="34"/>
        <v>0.65094339622641506</v>
      </c>
      <c r="G58" s="75">
        <f t="shared" si="34"/>
        <v>0.63043478260869557</v>
      </c>
      <c r="H58" s="75">
        <f t="shared" si="34"/>
        <v>0.63414634146341475</v>
      </c>
      <c r="I58" s="75">
        <f t="shared" si="34"/>
        <v>0.62666666666666671</v>
      </c>
      <c r="J58" s="75">
        <f t="shared" si="34"/>
        <v>0.51136363636363646</v>
      </c>
      <c r="K58" s="75">
        <f t="shared" si="34"/>
        <v>0.51219512195121952</v>
      </c>
      <c r="L58" s="75">
        <f t="shared" si="34"/>
        <v>0.49999999999999978</v>
      </c>
      <c r="M58" s="75">
        <f t="shared" si="34"/>
        <v>0.18085106382978733</v>
      </c>
      <c r="N58" s="75">
        <f t="shared" si="34"/>
        <v>0.1910112359550562</v>
      </c>
      <c r="O58" s="75">
        <f t="shared" si="34"/>
        <v>0.19999999999999996</v>
      </c>
      <c r="P58" s="75">
        <f t="shared" si="34"/>
        <v>0.19512195121951215</v>
      </c>
      <c r="R58" s="67" t="s">
        <v>63</v>
      </c>
      <c r="S58" s="76">
        <f t="shared" ref="S58:AF58" si="35">S42/S$17-1</f>
        <v>0</v>
      </c>
      <c r="T58" s="76">
        <f t="shared" si="35"/>
        <v>3.529411764705892E-2</v>
      </c>
      <c r="U58" s="76">
        <f t="shared" si="35"/>
        <v>6.5040650406504197E-2</v>
      </c>
      <c r="V58" s="76">
        <f t="shared" si="35"/>
        <v>0.10101010101010099</v>
      </c>
      <c r="W58" s="76">
        <f t="shared" si="35"/>
        <v>0.11764705882352944</v>
      </c>
      <c r="X58" s="76">
        <f t="shared" si="35"/>
        <v>0.13157894736842102</v>
      </c>
      <c r="Y58" s="76">
        <f t="shared" si="35"/>
        <v>0.15942028985507273</v>
      </c>
      <c r="Z58" s="76">
        <f t="shared" si="35"/>
        <v>3.6585365853658569E-2</v>
      </c>
      <c r="AA58" s="76">
        <f t="shared" si="35"/>
        <v>5.2631578947368363E-2</v>
      </c>
      <c r="AB58" s="76">
        <f t="shared" si="35"/>
        <v>7.0422535211267734E-2</v>
      </c>
      <c r="AC58" s="76">
        <f t="shared" si="35"/>
        <v>8.9552238805969964E-2</v>
      </c>
      <c r="AD58" s="76">
        <f t="shared" si="35"/>
        <v>9.375E-2</v>
      </c>
      <c r="AE58" s="76">
        <f t="shared" si="35"/>
        <v>0.11475409836065587</v>
      </c>
      <c r="AF58" s="76">
        <f t="shared" si="35"/>
        <v>0.1186440677966103</v>
      </c>
    </row>
    <row r="59" spans="2:32" x14ac:dyDescent="0.25">
      <c r="B59" s="74" t="s">
        <v>64</v>
      </c>
      <c r="C59" s="75">
        <f t="shared" ref="C59:P59" si="36">C9/C$15-1</f>
        <v>0.67398119122257061</v>
      </c>
      <c r="D59" s="75">
        <f t="shared" si="36"/>
        <v>0.63276836158192107</v>
      </c>
      <c r="E59" s="75">
        <f t="shared" si="36"/>
        <v>0.60465116279069742</v>
      </c>
      <c r="F59" s="75">
        <f t="shared" si="36"/>
        <v>0.56603773584905648</v>
      </c>
      <c r="G59" s="75">
        <f t="shared" si="36"/>
        <v>0.54347826086956497</v>
      </c>
      <c r="H59" s="75">
        <f t="shared" si="36"/>
        <v>0.52439024390243905</v>
      </c>
      <c r="I59" s="75">
        <f t="shared" si="36"/>
        <v>0.5199999999999998</v>
      </c>
      <c r="J59" s="75">
        <f t="shared" si="36"/>
        <v>0.42045454545454541</v>
      </c>
      <c r="K59" s="75">
        <f t="shared" si="36"/>
        <v>0.41463414634146334</v>
      </c>
      <c r="L59" s="75">
        <f t="shared" si="36"/>
        <v>0.39743589743589758</v>
      </c>
      <c r="M59" s="75">
        <f t="shared" si="36"/>
        <v>9.5744680851064023E-2</v>
      </c>
      <c r="N59" s="75">
        <f t="shared" si="36"/>
        <v>0.101123595505618</v>
      </c>
      <c r="O59" s="75">
        <f t="shared" si="36"/>
        <v>0.10588235294117654</v>
      </c>
      <c r="P59" s="75">
        <f t="shared" si="36"/>
        <v>9.7560975609756184E-2</v>
      </c>
      <c r="R59" s="67" t="s">
        <v>64</v>
      </c>
      <c r="S59" s="81">
        <f t="shared" ref="S59:AF59" si="37">S43/S$17-1</f>
        <v>-2.2435897435897578E-2</v>
      </c>
      <c r="T59" s="81">
        <f t="shared" si="37"/>
        <v>0</v>
      </c>
      <c r="U59" s="76">
        <f t="shared" si="37"/>
        <v>1.6260162601626105E-2</v>
      </c>
      <c r="V59" s="76">
        <f t="shared" si="37"/>
        <v>3.0303030303030276E-2</v>
      </c>
      <c r="W59" s="76">
        <f t="shared" si="37"/>
        <v>4.705882352941182E-2</v>
      </c>
      <c r="X59" s="76">
        <f t="shared" si="37"/>
        <v>5.2631578947368363E-2</v>
      </c>
      <c r="Y59" s="76">
        <f t="shared" si="37"/>
        <v>5.7971014492753659E-2</v>
      </c>
      <c r="Z59" s="81">
        <f t="shared" si="37"/>
        <v>-4.8780487804877981E-2</v>
      </c>
      <c r="AA59" s="81">
        <f t="shared" si="37"/>
        <v>-3.9473684210526327E-2</v>
      </c>
      <c r="AB59" s="81">
        <f t="shared" si="37"/>
        <v>-2.8169014084507116E-2</v>
      </c>
      <c r="AC59" s="81">
        <f t="shared" si="37"/>
        <v>-1.4925373134328401E-2</v>
      </c>
      <c r="AD59" s="81">
        <f t="shared" si="37"/>
        <v>0</v>
      </c>
      <c r="AE59" s="81">
        <f t="shared" si="37"/>
        <v>0</v>
      </c>
      <c r="AF59" s="81">
        <f t="shared" si="37"/>
        <v>0</v>
      </c>
    </row>
    <row r="60" spans="2:32" x14ac:dyDescent="0.25">
      <c r="B60" s="74" t="s">
        <v>65</v>
      </c>
      <c r="C60" s="75">
        <f t="shared" ref="C60:P60" si="38">C10/C$15-1</f>
        <v>0.64890282131661436</v>
      </c>
      <c r="D60" s="75">
        <f t="shared" si="38"/>
        <v>0.58757062146892647</v>
      </c>
      <c r="E60" s="75">
        <f t="shared" si="38"/>
        <v>0.54263565891472854</v>
      </c>
      <c r="F60" s="75">
        <f t="shared" si="38"/>
        <v>0.49056603773584895</v>
      </c>
      <c r="G60" s="75">
        <f t="shared" si="38"/>
        <v>0.44565217391304346</v>
      </c>
      <c r="H60" s="75">
        <f t="shared" si="38"/>
        <v>0.42682926829268286</v>
      </c>
      <c r="I60" s="75">
        <f t="shared" si="38"/>
        <v>0.40000000000000013</v>
      </c>
      <c r="J60" s="75">
        <f t="shared" si="38"/>
        <v>0.31818181818181812</v>
      </c>
      <c r="K60" s="75">
        <f t="shared" si="38"/>
        <v>0.30487804878048785</v>
      </c>
      <c r="L60" s="75">
        <f t="shared" si="38"/>
        <v>0.28205128205128194</v>
      </c>
      <c r="M60" s="75">
        <f t="shared" si="38"/>
        <v>0</v>
      </c>
      <c r="N60" s="75">
        <f t="shared" si="38"/>
        <v>0</v>
      </c>
      <c r="O60" s="75">
        <f t="shared" si="38"/>
        <v>0</v>
      </c>
      <c r="P60" s="75">
        <f t="shared" si="38"/>
        <v>0</v>
      </c>
      <c r="R60" s="67" t="s">
        <v>65</v>
      </c>
      <c r="S60" s="81">
        <f t="shared" ref="S60:AF60" si="39">S44/S$17-1</f>
        <v>-4.166666666666663E-2</v>
      </c>
      <c r="T60" s="81">
        <f t="shared" si="39"/>
        <v>-4.117647058823537E-2</v>
      </c>
      <c r="U60" s="81">
        <f t="shared" si="39"/>
        <v>-4.065040650406504E-2</v>
      </c>
      <c r="V60" s="81">
        <f t="shared" si="39"/>
        <v>-3.0303030303030276E-2</v>
      </c>
      <c r="W60" s="81">
        <f t="shared" si="39"/>
        <v>-3.5294117647058809E-2</v>
      </c>
      <c r="X60" s="81">
        <f t="shared" si="39"/>
        <v>-3.9473684210526327E-2</v>
      </c>
      <c r="Y60" s="81">
        <f t="shared" si="39"/>
        <v>-2.8985507246376718E-2</v>
      </c>
      <c r="Z60" s="81">
        <f t="shared" si="39"/>
        <v>-0.12195121951219512</v>
      </c>
      <c r="AA60" s="81">
        <f t="shared" si="39"/>
        <v>-0.11842105263157887</v>
      </c>
      <c r="AB60" s="81">
        <f t="shared" si="39"/>
        <v>-0.11267605633802813</v>
      </c>
      <c r="AC60" s="81">
        <f t="shared" si="39"/>
        <v>-0.10447761194029859</v>
      </c>
      <c r="AD60" s="81">
        <f t="shared" si="39"/>
        <v>-0.10937500000000011</v>
      </c>
      <c r="AE60" s="81">
        <f t="shared" si="39"/>
        <v>-9.8360655737704805E-2</v>
      </c>
      <c r="AF60" s="81">
        <f t="shared" si="39"/>
        <v>-0.10169491525423724</v>
      </c>
    </row>
    <row r="61" spans="2:32" x14ac:dyDescent="0.25">
      <c r="B61" s="74" t="s">
        <v>66</v>
      </c>
      <c r="C61" s="76">
        <f t="shared" ref="C61:P61" si="40">C11/C$15-1</f>
        <v>0.6206896551724137</v>
      </c>
      <c r="D61" s="76">
        <f t="shared" si="40"/>
        <v>0.53672316384180796</v>
      </c>
      <c r="E61" s="76">
        <f t="shared" si="40"/>
        <v>0.47286821705426352</v>
      </c>
      <c r="F61" s="76">
        <f t="shared" si="40"/>
        <v>0.41509433962264142</v>
      </c>
      <c r="G61" s="76">
        <f t="shared" si="40"/>
        <v>0.35869565217391308</v>
      </c>
      <c r="H61" s="76">
        <f t="shared" si="40"/>
        <v>0.3292682926829269</v>
      </c>
      <c r="I61" s="76">
        <f t="shared" si="40"/>
        <v>0.29333333333333322</v>
      </c>
      <c r="J61" s="76">
        <f t="shared" si="40"/>
        <v>0.22727272727272729</v>
      </c>
      <c r="K61" s="76">
        <f t="shared" si="40"/>
        <v>0.20731707317073167</v>
      </c>
      <c r="L61" s="76">
        <f t="shared" si="40"/>
        <v>0.17948717948717952</v>
      </c>
      <c r="M61" s="81">
        <f t="shared" si="40"/>
        <v>-8.5106382978723416E-2</v>
      </c>
      <c r="N61" s="81">
        <f t="shared" si="40"/>
        <v>-8.98876404494382E-2</v>
      </c>
      <c r="O61" s="81">
        <f t="shared" si="40"/>
        <v>-9.4117647058823528E-2</v>
      </c>
      <c r="P61" s="81">
        <f t="shared" si="40"/>
        <v>-0.1097560975609756</v>
      </c>
      <c r="R61" s="67" t="s">
        <v>66</v>
      </c>
      <c r="S61" s="81">
        <f t="shared" ref="S61:AF61" si="41">S45/S$17-1</f>
        <v>-6.4102564102564208E-2</v>
      </c>
      <c r="T61" s="81">
        <f t="shared" si="41"/>
        <v>-7.6470588235294068E-2</v>
      </c>
      <c r="U61" s="81">
        <f t="shared" si="41"/>
        <v>-8.9430894308943021E-2</v>
      </c>
      <c r="V61" s="81">
        <f t="shared" si="41"/>
        <v>-0.10101010101010099</v>
      </c>
      <c r="W61" s="81">
        <f t="shared" si="41"/>
        <v>-0.10588235294117643</v>
      </c>
      <c r="X61" s="81">
        <f t="shared" si="41"/>
        <v>-0.11842105263157887</v>
      </c>
      <c r="Y61" s="81">
        <f t="shared" si="41"/>
        <v>-0.13043478260869557</v>
      </c>
      <c r="Z61" s="81">
        <f t="shared" si="41"/>
        <v>-0.20731707317073167</v>
      </c>
      <c r="AA61" s="81">
        <f t="shared" si="41"/>
        <v>-0.21052631578947367</v>
      </c>
      <c r="AB61" s="81">
        <f t="shared" si="41"/>
        <v>-0.21126760563380276</v>
      </c>
      <c r="AC61" s="81">
        <f t="shared" si="41"/>
        <v>-0.20895522388059706</v>
      </c>
      <c r="AD61" s="81">
        <f t="shared" si="41"/>
        <v>-0.203125</v>
      </c>
      <c r="AE61" s="81">
        <f t="shared" si="41"/>
        <v>-0.21311475409836067</v>
      </c>
      <c r="AF61" s="81">
        <f t="shared" si="41"/>
        <v>-0.22033898305084743</v>
      </c>
    </row>
    <row r="62" spans="2:32" x14ac:dyDescent="0.25">
      <c r="B62" s="74" t="s">
        <v>55</v>
      </c>
      <c r="C62" s="76">
        <f t="shared" ref="C62:P62" si="42">C12/C$15-1</f>
        <v>0.59561128526645768</v>
      </c>
      <c r="D62" s="76">
        <f t="shared" si="42"/>
        <v>0.49152542372881358</v>
      </c>
      <c r="E62" s="76">
        <f t="shared" si="42"/>
        <v>0.41085271317829464</v>
      </c>
      <c r="F62" s="76">
        <f t="shared" si="42"/>
        <v>0.33018867924528283</v>
      </c>
      <c r="G62" s="76">
        <f t="shared" si="42"/>
        <v>0.27173913043478248</v>
      </c>
      <c r="H62" s="76">
        <f t="shared" si="42"/>
        <v>0.21951219512195119</v>
      </c>
      <c r="I62" s="76">
        <f t="shared" si="42"/>
        <v>0.18666666666666676</v>
      </c>
      <c r="J62" s="76">
        <f t="shared" si="42"/>
        <v>0.13636363636363646</v>
      </c>
      <c r="K62" s="76">
        <f t="shared" si="42"/>
        <v>0.10975609756097571</v>
      </c>
      <c r="L62" s="76">
        <f t="shared" si="42"/>
        <v>7.6923076923076872E-2</v>
      </c>
      <c r="M62" s="81">
        <f t="shared" si="42"/>
        <v>-0.17021276595744672</v>
      </c>
      <c r="N62" s="81">
        <f t="shared" si="42"/>
        <v>-0.1797752808988764</v>
      </c>
      <c r="O62" s="81">
        <f t="shared" si="42"/>
        <v>-0.18823529411764706</v>
      </c>
      <c r="P62" s="81">
        <f t="shared" si="42"/>
        <v>-0.20731707317073167</v>
      </c>
      <c r="R62" s="67" t="s">
        <v>55</v>
      </c>
      <c r="S62" s="81">
        <f t="shared" ref="S62:AF62" si="43">S46/S$17-1</f>
        <v>-8.333333333333337E-2</v>
      </c>
      <c r="T62" s="81">
        <f t="shared" si="43"/>
        <v>-0.11176470588235288</v>
      </c>
      <c r="U62" s="81">
        <f t="shared" si="43"/>
        <v>-0.14634146341463405</v>
      </c>
      <c r="V62" s="81">
        <f t="shared" si="43"/>
        <v>-0.16161616161616166</v>
      </c>
      <c r="W62" s="81">
        <f t="shared" si="43"/>
        <v>-0.18823529411764706</v>
      </c>
      <c r="X62" s="81">
        <f t="shared" si="43"/>
        <v>-0.21052631578947367</v>
      </c>
      <c r="Y62" s="81">
        <f t="shared" si="43"/>
        <v>-0.21739130434782594</v>
      </c>
      <c r="Z62" s="81">
        <f t="shared" si="43"/>
        <v>-0.28048780487804881</v>
      </c>
      <c r="AA62" s="81">
        <f t="shared" si="43"/>
        <v>-0.28947368421052633</v>
      </c>
      <c r="AB62" s="81">
        <f t="shared" si="43"/>
        <v>-0.29577464788732388</v>
      </c>
      <c r="AC62" s="81">
        <f t="shared" si="43"/>
        <v>-0.29850746268656725</v>
      </c>
      <c r="AD62" s="81">
        <f t="shared" si="43"/>
        <v>-0.3125</v>
      </c>
      <c r="AE62" s="81">
        <f t="shared" si="43"/>
        <v>-0.31147540983606559</v>
      </c>
      <c r="AF62" s="81">
        <f t="shared" si="43"/>
        <v>-0.32203389830508466</v>
      </c>
    </row>
    <row r="63" spans="2:32" x14ac:dyDescent="0.25">
      <c r="B63" s="74" t="s">
        <v>67</v>
      </c>
      <c r="C63" s="76">
        <f t="shared" ref="C63:P63" si="44">C13/C$15-1</f>
        <v>0.57053291536050144</v>
      </c>
      <c r="D63" s="76">
        <f t="shared" si="44"/>
        <v>0.4463276836158192</v>
      </c>
      <c r="E63" s="76">
        <f t="shared" si="44"/>
        <v>0.34883720930232553</v>
      </c>
      <c r="F63" s="76">
        <f t="shared" si="44"/>
        <v>0.25471698113207553</v>
      </c>
      <c r="G63" s="76">
        <f t="shared" si="44"/>
        <v>0.17391304347826098</v>
      </c>
      <c r="H63" s="76">
        <f t="shared" si="44"/>
        <v>0.12195121951219523</v>
      </c>
      <c r="I63" s="76">
        <f t="shared" si="44"/>
        <v>6.6666666666666652E-2</v>
      </c>
      <c r="J63" s="76">
        <f t="shared" si="44"/>
        <v>4.5454545454545414E-2</v>
      </c>
      <c r="K63" s="76">
        <f t="shared" si="44"/>
        <v>0</v>
      </c>
      <c r="L63" s="81">
        <f t="shared" si="44"/>
        <v>-3.8461538461538547E-2</v>
      </c>
      <c r="M63" s="81">
        <f t="shared" si="44"/>
        <v>-0.26595744680851063</v>
      </c>
      <c r="N63" s="81">
        <f t="shared" si="44"/>
        <v>-0.2808988764044944</v>
      </c>
      <c r="O63" s="81">
        <f t="shared" si="44"/>
        <v>-0.29411764705882348</v>
      </c>
      <c r="P63" s="81">
        <f t="shared" si="44"/>
        <v>-0.30487804878048785</v>
      </c>
      <c r="R63" s="67" t="s">
        <v>67</v>
      </c>
      <c r="S63" s="81">
        <f t="shared" ref="S63:AF63" si="45">S47/S$17-1</f>
        <v>-0.10256410256410264</v>
      </c>
      <c r="T63" s="81">
        <f t="shared" si="45"/>
        <v>-0.15294117647058825</v>
      </c>
      <c r="U63" s="81">
        <f t="shared" si="45"/>
        <v>-0.19512195121951215</v>
      </c>
      <c r="V63" s="81">
        <f t="shared" si="45"/>
        <v>-0.23232323232323226</v>
      </c>
      <c r="W63" s="81">
        <f t="shared" si="45"/>
        <v>-0.25882352941176467</v>
      </c>
      <c r="X63" s="81">
        <f t="shared" si="45"/>
        <v>-0.28947368421052633</v>
      </c>
      <c r="Y63" s="81">
        <f t="shared" si="45"/>
        <v>-0.3188405797101449</v>
      </c>
      <c r="Z63" s="81">
        <f t="shared" si="45"/>
        <v>-0.36585365853658536</v>
      </c>
      <c r="AA63" s="81">
        <f t="shared" si="45"/>
        <v>-0.38157894736842113</v>
      </c>
      <c r="AB63" s="81">
        <f t="shared" si="45"/>
        <v>-0.38028169014084501</v>
      </c>
      <c r="AC63" s="81">
        <f t="shared" si="45"/>
        <v>-0.40298507462686572</v>
      </c>
      <c r="AD63" s="81">
        <f t="shared" si="45"/>
        <v>-0.40625</v>
      </c>
      <c r="AE63" s="81">
        <f t="shared" si="45"/>
        <v>-0.4098360655737705</v>
      </c>
      <c r="AF63" s="81">
        <f t="shared" si="45"/>
        <v>-0.42372881355932202</v>
      </c>
    </row>
    <row r="64" spans="2:32" x14ac:dyDescent="0.25">
      <c r="B64" s="77" t="s">
        <v>57</v>
      </c>
      <c r="C64" s="77">
        <f t="shared" ref="C64:P64" si="46">C14/C$15-1</f>
        <v>0.12852664576802519</v>
      </c>
      <c r="D64" s="77">
        <f t="shared" si="46"/>
        <v>6.7796610169491567E-2</v>
      </c>
      <c r="E64" s="77">
        <f t="shared" si="46"/>
        <v>2.3255813953488413E-2</v>
      </c>
      <c r="F64" s="77">
        <f t="shared" si="46"/>
        <v>-1.8867924528301883E-2</v>
      </c>
      <c r="G64" s="77">
        <f t="shared" si="46"/>
        <v>-5.4347826086956541E-2</v>
      </c>
      <c r="H64" s="77">
        <f t="shared" si="46"/>
        <v>-8.536585365853655E-2</v>
      </c>
      <c r="I64" s="77">
        <f t="shared" si="46"/>
        <v>-0.10666666666666658</v>
      </c>
      <c r="J64" s="77">
        <f t="shared" si="46"/>
        <v>-7.9545454545454475E-2</v>
      </c>
      <c r="K64" s="77">
        <f t="shared" si="46"/>
        <v>-9.7560975609756073E-2</v>
      </c>
      <c r="L64" s="77">
        <f t="shared" si="46"/>
        <v>-0.11538461538461553</v>
      </c>
      <c r="M64" s="77">
        <f t="shared" si="46"/>
        <v>-0.31914893617021267</v>
      </c>
      <c r="N64" s="77">
        <f t="shared" si="46"/>
        <v>-0.3258426966292135</v>
      </c>
      <c r="O64" s="77">
        <f t="shared" si="46"/>
        <v>-0.3294117647058824</v>
      </c>
      <c r="P64" s="77">
        <f t="shared" si="46"/>
        <v>-0.34146341463414631</v>
      </c>
      <c r="R64" s="69" t="s">
        <v>57</v>
      </c>
      <c r="S64" s="72">
        <v>0.15</v>
      </c>
      <c r="T64" s="72">
        <v>0.11</v>
      </c>
      <c r="U64" s="72">
        <v>0.08</v>
      </c>
      <c r="V64" s="72">
        <v>0.05</v>
      </c>
      <c r="W64" s="72">
        <v>0.02</v>
      </c>
      <c r="X64" s="72">
        <v>0</v>
      </c>
      <c r="Y64" s="72">
        <v>-0.02</v>
      </c>
      <c r="Z64" s="72">
        <v>-0.01</v>
      </c>
      <c r="AA64" s="72">
        <v>-0.02</v>
      </c>
      <c r="AB64" s="72">
        <v>-0.04</v>
      </c>
      <c r="AC64" s="72">
        <v>-0.05</v>
      </c>
      <c r="AD64" s="72">
        <v>-0.06</v>
      </c>
      <c r="AE64" s="72">
        <v>-7.0000000000000007E-2</v>
      </c>
      <c r="AF64" s="72">
        <v>-0.08</v>
      </c>
    </row>
    <row r="65" spans="2:32" x14ac:dyDescent="0.25">
      <c r="B65" s="78" t="s">
        <v>72</v>
      </c>
      <c r="C65" s="73">
        <f t="shared" ref="C65:P65" si="47">C15/C$15-1</f>
        <v>0</v>
      </c>
      <c r="D65" s="73">
        <f t="shared" si="47"/>
        <v>0</v>
      </c>
      <c r="E65" s="73">
        <f t="shared" si="47"/>
        <v>0</v>
      </c>
      <c r="F65" s="73">
        <f t="shared" si="47"/>
        <v>0</v>
      </c>
      <c r="G65" s="73">
        <f t="shared" si="47"/>
        <v>0</v>
      </c>
      <c r="H65" s="73">
        <f t="shared" si="47"/>
        <v>0</v>
      </c>
      <c r="I65" s="73">
        <f t="shared" si="47"/>
        <v>0</v>
      </c>
      <c r="J65" s="73">
        <f t="shared" si="47"/>
        <v>0</v>
      </c>
      <c r="K65" s="73">
        <f t="shared" si="47"/>
        <v>0</v>
      </c>
      <c r="L65" s="73">
        <f t="shared" si="47"/>
        <v>0</v>
      </c>
      <c r="M65" s="73">
        <f t="shared" si="47"/>
        <v>0</v>
      </c>
      <c r="N65" s="73">
        <f t="shared" si="47"/>
        <v>0</v>
      </c>
      <c r="O65" s="73">
        <f t="shared" si="47"/>
        <v>0</v>
      </c>
      <c r="P65" s="73">
        <f t="shared" si="47"/>
        <v>0</v>
      </c>
      <c r="R65" s="68" t="s">
        <v>58</v>
      </c>
      <c r="S65" s="73">
        <v>0</v>
      </c>
      <c r="T65" s="73">
        <v>0</v>
      </c>
      <c r="U65" s="73">
        <v>0</v>
      </c>
      <c r="V65" s="73">
        <v>0</v>
      </c>
      <c r="W65" s="73">
        <v>0</v>
      </c>
      <c r="X65" s="73">
        <v>0</v>
      </c>
      <c r="Y65" s="73">
        <v>0</v>
      </c>
      <c r="Z65" s="73">
        <v>0</v>
      </c>
      <c r="AA65" s="73">
        <v>0</v>
      </c>
      <c r="AB65" s="73">
        <v>0</v>
      </c>
      <c r="AC65" s="73">
        <v>0</v>
      </c>
      <c r="AD65" s="73">
        <v>0</v>
      </c>
      <c r="AE65" s="73">
        <v>0</v>
      </c>
      <c r="AF65" s="73">
        <v>0</v>
      </c>
    </row>
    <row r="66" spans="2:32" x14ac:dyDescent="0.25">
      <c r="B66" s="86" t="s">
        <v>103</v>
      </c>
      <c r="C66" s="77">
        <f>C16/C$15-1</f>
        <v>-1.2539184952978122E-2</v>
      </c>
      <c r="D66" s="77">
        <f>D18/D$15-1</f>
        <v>0.13559322033898291</v>
      </c>
      <c r="E66" s="77">
        <f>E18/E$15-1</f>
        <v>0.12403100775193798</v>
      </c>
      <c r="F66" s="77">
        <f>F16/F$15-1</f>
        <v>-2.8301886792452824E-2</v>
      </c>
      <c r="G66" s="77">
        <f t="shared" ref="G66:P66" si="48">G18/G$15-1</f>
        <v>7.6086956521739024E-2</v>
      </c>
      <c r="H66" s="77">
        <f t="shared" si="48"/>
        <v>7.3170731707317138E-2</v>
      </c>
      <c r="I66" s="77">
        <f t="shared" si="48"/>
        <v>6.6666666666666652E-2</v>
      </c>
      <c r="J66" s="77">
        <f t="shared" si="48"/>
        <v>5.6818181818181879E-2</v>
      </c>
      <c r="K66" s="77">
        <f t="shared" si="48"/>
        <v>4.8780487804878092E-2</v>
      </c>
      <c r="L66" s="77">
        <f t="shared" si="48"/>
        <v>3.8461538461538547E-2</v>
      </c>
      <c r="M66" s="77">
        <f t="shared" si="48"/>
        <v>-0.1914893617021276</v>
      </c>
      <c r="N66" s="77">
        <f t="shared" si="48"/>
        <v>-0.1797752808988764</v>
      </c>
      <c r="O66" s="77">
        <f t="shared" si="48"/>
        <v>-0.18823529411764706</v>
      </c>
      <c r="P66" s="77">
        <f t="shared" si="48"/>
        <v>-0.18292682926829262</v>
      </c>
      <c r="R66" t="s">
        <v>103</v>
      </c>
      <c r="S66" s="72">
        <f t="shared" ref="S66:Y66" si="49">S50/S49-1</f>
        <v>0.19230769230769229</v>
      </c>
      <c r="T66" s="72">
        <f t="shared" si="49"/>
        <v>0.18235294117647038</v>
      </c>
      <c r="U66" s="72">
        <f t="shared" si="49"/>
        <v>0.17886178861788626</v>
      </c>
      <c r="V66" s="72">
        <f t="shared" si="49"/>
        <v>0.17171717171717171</v>
      </c>
      <c r="W66" s="72">
        <f t="shared" si="49"/>
        <v>0.16470588235294126</v>
      </c>
      <c r="X66" s="72">
        <f t="shared" si="49"/>
        <v>0.15789473684210531</v>
      </c>
      <c r="Y66" s="72">
        <f t="shared" si="49"/>
        <v>0.15942028985507273</v>
      </c>
      <c r="Z66" s="72">
        <v>0.19</v>
      </c>
      <c r="AA66" s="72">
        <v>0.19</v>
      </c>
      <c r="AB66" s="72">
        <f>AB50/AB49-1</f>
        <v>0.14084507042253525</v>
      </c>
      <c r="AC66" s="72">
        <v>0.2</v>
      </c>
      <c r="AD66" s="72">
        <f>AD50/AD49-1</f>
        <v>0.140625</v>
      </c>
      <c r="AE66" s="72">
        <f>AE50/AE49-1</f>
        <v>0.13114754098360648</v>
      </c>
      <c r="AF66" s="72">
        <f>AF50/AF49-1</f>
        <v>0.13559322033898313</v>
      </c>
    </row>
    <row r="67" spans="2:32" x14ac:dyDescent="0.25">
      <c r="C67" s="55"/>
    </row>
    <row r="68" spans="2:32" x14ac:dyDescent="0.25">
      <c r="B68" t="s">
        <v>89</v>
      </c>
      <c r="C68" s="54" t="s">
        <v>73</v>
      </c>
      <c r="D68" s="54" t="s">
        <v>74</v>
      </c>
      <c r="E68" s="54" t="s">
        <v>75</v>
      </c>
      <c r="F68" s="54" t="s">
        <v>76</v>
      </c>
      <c r="G68" s="54" t="s">
        <v>77</v>
      </c>
      <c r="H68" s="54" t="s">
        <v>78</v>
      </c>
      <c r="I68" s="54" t="s">
        <v>79</v>
      </c>
      <c r="J68" s="54" t="s">
        <v>80</v>
      </c>
      <c r="K68" s="54" t="s">
        <v>81</v>
      </c>
      <c r="L68" s="54" t="s">
        <v>82</v>
      </c>
      <c r="M68" s="54" t="s">
        <v>83</v>
      </c>
      <c r="N68" s="54" t="s">
        <v>84</v>
      </c>
      <c r="O68" s="54" t="s">
        <v>85</v>
      </c>
      <c r="P68" s="54" t="s">
        <v>86</v>
      </c>
    </row>
    <row r="69" spans="2:32" x14ac:dyDescent="0.25">
      <c r="B69" s="67" t="s">
        <v>56</v>
      </c>
      <c r="C69" s="61">
        <v>5.05</v>
      </c>
      <c r="D69" s="61">
        <v>2.95</v>
      </c>
      <c r="E69" s="61">
        <v>2.25</v>
      </c>
      <c r="F69" s="61">
        <v>1.9</v>
      </c>
      <c r="G69" s="61">
        <v>1.69</v>
      </c>
      <c r="H69" s="61">
        <v>1.55</v>
      </c>
      <c r="I69" s="61">
        <v>1.45</v>
      </c>
      <c r="J69" s="61">
        <v>1.58</v>
      </c>
      <c r="K69" s="61">
        <v>1.49</v>
      </c>
      <c r="L69" s="62">
        <v>1.43</v>
      </c>
      <c r="M69" s="61">
        <v>1.38</v>
      </c>
      <c r="N69" s="61">
        <v>1.33</v>
      </c>
      <c r="O69" s="61">
        <v>1.3</v>
      </c>
      <c r="P69" s="61">
        <v>1.27</v>
      </c>
    </row>
    <row r="70" spans="2:32" x14ac:dyDescent="0.25">
      <c r="B70" s="67" t="s">
        <v>60</v>
      </c>
      <c r="C70" s="61">
        <v>4.96</v>
      </c>
      <c r="D70" s="61">
        <v>2.87</v>
      </c>
      <c r="E70" s="61">
        <v>2.17</v>
      </c>
      <c r="F70" s="61">
        <v>1.82</v>
      </c>
      <c r="G70" s="61">
        <v>1.61</v>
      </c>
      <c r="H70" s="61">
        <v>1.47</v>
      </c>
      <c r="I70" s="61">
        <v>1.37</v>
      </c>
      <c r="J70" s="61">
        <v>1.49</v>
      </c>
      <c r="K70" s="61">
        <v>1.41</v>
      </c>
      <c r="L70" s="61">
        <v>1.35</v>
      </c>
      <c r="M70" s="61">
        <v>1.3</v>
      </c>
      <c r="N70" s="61">
        <v>1.25</v>
      </c>
      <c r="O70" s="61">
        <v>1.21</v>
      </c>
      <c r="P70" s="61">
        <v>1.18</v>
      </c>
    </row>
    <row r="71" spans="2:32" x14ac:dyDescent="0.25">
      <c r="B71" s="67" t="s">
        <v>61</v>
      </c>
      <c r="C71" s="61">
        <v>4.88</v>
      </c>
      <c r="D71" s="61">
        <v>2.78</v>
      </c>
      <c r="E71" s="61">
        <v>2.08</v>
      </c>
      <c r="F71" s="61">
        <v>1.73</v>
      </c>
      <c r="G71" s="61">
        <v>1.53</v>
      </c>
      <c r="H71" s="61">
        <v>1.39</v>
      </c>
      <c r="I71" s="61">
        <v>1.29</v>
      </c>
      <c r="J71" s="61">
        <v>1.41</v>
      </c>
      <c r="K71" s="61">
        <v>1.33</v>
      </c>
      <c r="L71" s="61">
        <v>1.26</v>
      </c>
      <c r="M71" s="61">
        <v>1.21</v>
      </c>
      <c r="N71" s="61">
        <v>1.17</v>
      </c>
      <c r="O71" s="61">
        <v>1.1299999999999999</v>
      </c>
      <c r="P71" s="61">
        <v>1.1000000000000001</v>
      </c>
    </row>
    <row r="72" spans="2:32" x14ac:dyDescent="0.25">
      <c r="B72" s="67" t="s">
        <v>62</v>
      </c>
      <c r="C72" s="61">
        <v>4.8</v>
      </c>
      <c r="D72" s="61">
        <v>2.7</v>
      </c>
      <c r="E72" s="61">
        <v>2</v>
      </c>
      <c r="F72" s="61">
        <v>1.65</v>
      </c>
      <c r="G72" s="61">
        <v>1.44</v>
      </c>
      <c r="H72" s="61">
        <v>1.3</v>
      </c>
      <c r="I72" s="61">
        <v>1.2</v>
      </c>
      <c r="J72" s="61">
        <v>1.25</v>
      </c>
      <c r="K72" s="61">
        <v>1.05</v>
      </c>
      <c r="L72" s="61">
        <v>1.18</v>
      </c>
      <c r="M72" s="61">
        <v>1.1299999999999999</v>
      </c>
      <c r="N72" s="61">
        <v>1.08</v>
      </c>
      <c r="O72" s="61">
        <v>1.05</v>
      </c>
      <c r="P72" s="61">
        <v>1.02</v>
      </c>
    </row>
    <row r="73" spans="2:32" x14ac:dyDescent="0.25">
      <c r="B73" s="67" t="s">
        <v>63</v>
      </c>
      <c r="C73" s="61">
        <v>4.71</v>
      </c>
      <c r="D73" s="61">
        <v>2.62</v>
      </c>
      <c r="E73" s="61">
        <v>1.92</v>
      </c>
      <c r="F73" s="61">
        <v>1.57</v>
      </c>
      <c r="G73" s="61">
        <v>1.36</v>
      </c>
      <c r="H73" s="61">
        <v>1.22</v>
      </c>
      <c r="I73" s="61">
        <v>1.1200000000000001</v>
      </c>
      <c r="J73" s="61">
        <v>1.24</v>
      </c>
      <c r="K73" s="61">
        <v>1.1599999999999999</v>
      </c>
      <c r="L73" s="61">
        <v>1.1000000000000001</v>
      </c>
      <c r="M73" s="61">
        <v>1.05</v>
      </c>
      <c r="N73" s="61">
        <v>1</v>
      </c>
      <c r="O73" s="61">
        <v>0.96</v>
      </c>
      <c r="P73" s="61">
        <v>0.93</v>
      </c>
    </row>
    <row r="74" spans="2:32" x14ac:dyDescent="0.25">
      <c r="B74" s="67" t="s">
        <v>64</v>
      </c>
      <c r="C74" s="61">
        <v>4.63</v>
      </c>
      <c r="D74" s="61">
        <v>2.5299999999999998</v>
      </c>
      <c r="E74" s="61">
        <v>1.83</v>
      </c>
      <c r="F74" s="61">
        <v>1.49</v>
      </c>
      <c r="G74" s="61">
        <v>1.28</v>
      </c>
      <c r="H74" s="61">
        <v>1.1399999999999999</v>
      </c>
      <c r="I74" s="61">
        <v>1.04</v>
      </c>
      <c r="J74" s="61">
        <v>1.1599999999999999</v>
      </c>
      <c r="K74" s="61">
        <v>1.08</v>
      </c>
      <c r="L74" s="61">
        <v>1.01</v>
      </c>
      <c r="M74" s="70">
        <v>0.96</v>
      </c>
      <c r="N74" s="70">
        <v>0.92</v>
      </c>
      <c r="O74" s="70">
        <v>0.88</v>
      </c>
      <c r="P74" s="70">
        <v>0.85</v>
      </c>
    </row>
    <row r="75" spans="2:32" x14ac:dyDescent="0.25">
      <c r="B75" s="67" t="s">
        <v>65</v>
      </c>
      <c r="C75" s="61">
        <v>4.55</v>
      </c>
      <c r="D75" s="61">
        <v>2.4500000000000002</v>
      </c>
      <c r="E75" s="61">
        <v>1.75</v>
      </c>
      <c r="F75" s="61">
        <v>1.4</v>
      </c>
      <c r="G75" s="61">
        <v>1.19</v>
      </c>
      <c r="H75" s="61">
        <v>1.05</v>
      </c>
      <c r="I75" s="61">
        <v>0.95</v>
      </c>
      <c r="J75" s="79">
        <v>1.08</v>
      </c>
      <c r="K75" s="79">
        <v>1</v>
      </c>
      <c r="L75" s="79">
        <v>0.93</v>
      </c>
      <c r="M75" s="83">
        <v>0.88</v>
      </c>
      <c r="N75" s="83">
        <v>0.84</v>
      </c>
      <c r="O75" s="83">
        <v>0.8</v>
      </c>
      <c r="P75" s="83">
        <v>0.77</v>
      </c>
    </row>
    <row r="76" spans="2:32" x14ac:dyDescent="0.25">
      <c r="B76" s="67" t="s">
        <v>66</v>
      </c>
      <c r="C76" s="79">
        <v>4.46</v>
      </c>
      <c r="D76" s="79">
        <v>2.37</v>
      </c>
      <c r="E76" s="79">
        <v>1.67</v>
      </c>
      <c r="F76" s="79">
        <v>1.32</v>
      </c>
      <c r="G76" s="79">
        <v>1.1100000000000001</v>
      </c>
      <c r="H76" s="79">
        <v>0.97</v>
      </c>
      <c r="I76" s="79">
        <v>0.87</v>
      </c>
      <c r="J76" s="79">
        <v>0.99</v>
      </c>
      <c r="K76" s="79">
        <v>0.91</v>
      </c>
      <c r="L76" s="83">
        <v>0.85</v>
      </c>
      <c r="M76" s="83">
        <v>0.8</v>
      </c>
      <c r="N76" s="83">
        <v>0.75</v>
      </c>
      <c r="O76" s="83">
        <v>0.71</v>
      </c>
      <c r="P76" s="83">
        <v>0.68</v>
      </c>
    </row>
    <row r="77" spans="2:32" x14ac:dyDescent="0.25">
      <c r="B77" s="67" t="s">
        <v>55</v>
      </c>
      <c r="C77" s="79">
        <v>4.38</v>
      </c>
      <c r="D77" s="79">
        <v>2.2799999999999998</v>
      </c>
      <c r="E77" s="79">
        <v>1.59</v>
      </c>
      <c r="F77" s="79">
        <v>1.24</v>
      </c>
      <c r="G77" s="79">
        <v>1.03</v>
      </c>
      <c r="H77" s="83">
        <v>0.89</v>
      </c>
      <c r="I77" s="83">
        <v>0.79</v>
      </c>
      <c r="J77" s="79">
        <v>0.91</v>
      </c>
      <c r="K77" s="83">
        <v>0.83</v>
      </c>
      <c r="L77" s="83">
        <v>0.77</v>
      </c>
      <c r="M77" s="83">
        <v>0.71</v>
      </c>
      <c r="N77" s="83">
        <v>0.67</v>
      </c>
      <c r="O77" s="83">
        <v>0.63</v>
      </c>
      <c r="P77" s="83">
        <v>0.6</v>
      </c>
    </row>
    <row r="78" spans="2:32" x14ac:dyDescent="0.25">
      <c r="B78" s="67" t="s">
        <v>67</v>
      </c>
      <c r="C78" s="64">
        <v>4.3</v>
      </c>
      <c r="D78" s="64">
        <v>2.2000000000000002</v>
      </c>
      <c r="E78" s="64">
        <v>1.5</v>
      </c>
      <c r="F78" s="64">
        <v>1.1499999999999999</v>
      </c>
      <c r="G78" s="64">
        <v>0.94</v>
      </c>
      <c r="H78" s="83">
        <v>0.8</v>
      </c>
      <c r="I78" s="83">
        <v>0.7</v>
      </c>
      <c r="J78" s="83">
        <v>0.83</v>
      </c>
      <c r="K78" s="83">
        <v>0.75</v>
      </c>
      <c r="L78" s="83">
        <v>0.68</v>
      </c>
      <c r="M78" s="83">
        <v>0.63</v>
      </c>
      <c r="N78" s="83">
        <v>0.59</v>
      </c>
      <c r="O78" s="83">
        <v>0.55000000000000004</v>
      </c>
      <c r="P78" s="83">
        <v>0.52</v>
      </c>
    </row>
    <row r="79" spans="2:32" x14ac:dyDescent="0.25">
      <c r="B79" s="69" t="s">
        <v>57</v>
      </c>
      <c r="C79" s="65">
        <v>3.6</v>
      </c>
      <c r="D79" s="65">
        <v>1.89</v>
      </c>
      <c r="E79" s="65">
        <v>1.32</v>
      </c>
      <c r="F79" s="65">
        <v>1.04</v>
      </c>
      <c r="G79" s="83">
        <v>0.87</v>
      </c>
      <c r="H79" s="83">
        <v>0.75</v>
      </c>
      <c r="I79" s="83">
        <v>0.67</v>
      </c>
      <c r="J79" s="83">
        <v>0.81</v>
      </c>
      <c r="K79" s="83">
        <v>0.74</v>
      </c>
      <c r="L79" s="83">
        <v>0.69</v>
      </c>
      <c r="M79" s="83">
        <v>0.64</v>
      </c>
      <c r="N79" s="83">
        <v>0.6</v>
      </c>
      <c r="O79" s="83">
        <v>0.56999999999999995</v>
      </c>
      <c r="P79" s="83">
        <v>0.54</v>
      </c>
    </row>
    <row r="80" spans="2:32" x14ac:dyDescent="0.25">
      <c r="B80" s="68" t="s">
        <v>72</v>
      </c>
      <c r="C80" s="66">
        <v>3.19</v>
      </c>
      <c r="D80" s="66">
        <v>1.77</v>
      </c>
      <c r="E80" s="66">
        <v>1.29</v>
      </c>
      <c r="F80" s="66">
        <v>1.06</v>
      </c>
      <c r="G80" s="66">
        <v>0.92</v>
      </c>
      <c r="H80" s="66">
        <v>0.82</v>
      </c>
      <c r="I80" s="66">
        <v>0.75</v>
      </c>
      <c r="J80" s="66">
        <v>0.88</v>
      </c>
      <c r="K80" s="66">
        <v>0.82</v>
      </c>
      <c r="L80" s="66">
        <v>0.78</v>
      </c>
      <c r="M80" s="66">
        <v>0.94</v>
      </c>
      <c r="N80" s="66">
        <v>0.89</v>
      </c>
      <c r="O80" s="66">
        <v>0.85</v>
      </c>
      <c r="P80" s="66">
        <v>0.82</v>
      </c>
    </row>
    <row r="81" spans="2:16" x14ac:dyDescent="0.25">
      <c r="B81" s="68" t="s">
        <v>71</v>
      </c>
      <c r="C81" s="66">
        <v>3.15</v>
      </c>
      <c r="D81" s="66">
        <v>1.73</v>
      </c>
      <c r="E81" s="66">
        <v>1.26</v>
      </c>
      <c r="F81" s="66">
        <v>1.03</v>
      </c>
      <c r="G81" s="66">
        <v>0.88</v>
      </c>
      <c r="H81" s="66">
        <v>0.79</v>
      </c>
      <c r="I81" s="66">
        <v>0.72</v>
      </c>
      <c r="J81" s="66">
        <v>0.85</v>
      </c>
      <c r="K81" s="66">
        <v>0.79</v>
      </c>
      <c r="L81" s="66">
        <v>0.74</v>
      </c>
      <c r="M81" s="66">
        <v>0.7</v>
      </c>
      <c r="N81" s="66">
        <v>0.67</v>
      </c>
      <c r="O81" s="66">
        <v>0.65</v>
      </c>
      <c r="P81" s="66">
        <v>0.62</v>
      </c>
    </row>
    <row r="82" spans="2:16" x14ac:dyDescent="0.25">
      <c r="B82" s="68" t="s">
        <v>58</v>
      </c>
      <c r="C82" s="66">
        <v>3.12</v>
      </c>
      <c r="D82" s="66">
        <v>1.7</v>
      </c>
      <c r="E82" s="66">
        <v>1.23</v>
      </c>
      <c r="F82" s="66">
        <v>0.99</v>
      </c>
      <c r="G82" s="66">
        <v>0.85</v>
      </c>
      <c r="H82" s="66">
        <v>0.76</v>
      </c>
      <c r="I82" s="66">
        <v>0.69</v>
      </c>
      <c r="J82" s="66">
        <v>0.82</v>
      </c>
      <c r="K82" s="66">
        <v>0.76</v>
      </c>
      <c r="L82" s="66">
        <v>0.71</v>
      </c>
      <c r="M82" s="66">
        <v>0.67</v>
      </c>
      <c r="N82" s="66">
        <v>0.64</v>
      </c>
      <c r="O82" s="66">
        <v>0.61</v>
      </c>
      <c r="P82" s="66">
        <v>0.59</v>
      </c>
    </row>
    <row r="86" spans="2:16" x14ac:dyDescent="0.25">
      <c r="B86" t="s">
        <v>91</v>
      </c>
      <c r="C86" s="54" t="s">
        <v>73</v>
      </c>
      <c r="D86" s="54" t="s">
        <v>74</v>
      </c>
      <c r="E86" s="54" t="s">
        <v>75</v>
      </c>
      <c r="F86" s="54" t="s">
        <v>76</v>
      </c>
      <c r="G86" s="54" t="s">
        <v>77</v>
      </c>
      <c r="H86" s="54" t="s">
        <v>78</v>
      </c>
      <c r="I86" s="54" t="s">
        <v>79</v>
      </c>
      <c r="J86" s="54" t="s">
        <v>80</v>
      </c>
      <c r="K86" s="54" t="s">
        <v>81</v>
      </c>
      <c r="L86" s="54" t="s">
        <v>82</v>
      </c>
      <c r="M86" s="54" t="s">
        <v>83</v>
      </c>
      <c r="N86" s="54" t="s">
        <v>84</v>
      </c>
      <c r="O86" s="54" t="s">
        <v>85</v>
      </c>
      <c r="P86" s="54" t="s">
        <v>86</v>
      </c>
    </row>
    <row r="87" spans="2:16" x14ac:dyDescent="0.25">
      <c r="B87" s="67" t="s">
        <v>56</v>
      </c>
      <c r="C87" s="70">
        <f t="shared" ref="C87:P87" si="50">C69/C$82-1</f>
        <v>0.61858974358974339</v>
      </c>
      <c r="D87" s="70">
        <f t="shared" si="50"/>
        <v>0.73529411764705888</v>
      </c>
      <c r="E87" s="70">
        <f t="shared" si="50"/>
        <v>0.8292682926829269</v>
      </c>
      <c r="F87" s="70">
        <f t="shared" si="50"/>
        <v>0.91919191919191912</v>
      </c>
      <c r="G87" s="70">
        <f t="shared" si="50"/>
        <v>0.9882352941176471</v>
      </c>
      <c r="H87" s="70">
        <f t="shared" si="50"/>
        <v>1.0394736842105265</v>
      </c>
      <c r="I87" s="70">
        <f t="shared" si="50"/>
        <v>1.1014492753623188</v>
      </c>
      <c r="J87" s="70">
        <f t="shared" si="50"/>
        <v>0.92682926829268308</v>
      </c>
      <c r="K87" s="70">
        <f t="shared" si="50"/>
        <v>0.96052631578947367</v>
      </c>
      <c r="L87" s="70">
        <f t="shared" si="50"/>
        <v>1.0140845070422535</v>
      </c>
      <c r="M87" s="70">
        <f t="shared" si="50"/>
        <v>1.0597014925373132</v>
      </c>
      <c r="N87" s="70">
        <f t="shared" si="50"/>
        <v>1.078125</v>
      </c>
      <c r="O87" s="70">
        <f t="shared" si="50"/>
        <v>1.1311475409836067</v>
      </c>
      <c r="P87" s="70">
        <f t="shared" si="50"/>
        <v>1.152542372881356</v>
      </c>
    </row>
    <row r="88" spans="2:16" x14ac:dyDescent="0.25">
      <c r="B88" s="67" t="s">
        <v>60</v>
      </c>
      <c r="C88" s="70">
        <f t="shared" ref="C88:P88" si="51">C70/C$82-1</f>
        <v>0.58974358974358965</v>
      </c>
      <c r="D88" s="70">
        <f t="shared" si="51"/>
        <v>0.68823529411764706</v>
      </c>
      <c r="E88" s="70">
        <f t="shared" si="51"/>
        <v>0.7642276422764227</v>
      </c>
      <c r="F88" s="70">
        <f t="shared" si="51"/>
        <v>0.83838383838383845</v>
      </c>
      <c r="G88" s="70">
        <f t="shared" si="51"/>
        <v>0.89411764705882368</v>
      </c>
      <c r="H88" s="70">
        <f t="shared" si="51"/>
        <v>0.93421052631578938</v>
      </c>
      <c r="I88" s="70">
        <f t="shared" si="51"/>
        <v>0.98550724637681197</v>
      </c>
      <c r="J88" s="70">
        <f t="shared" si="51"/>
        <v>0.81707317073170738</v>
      </c>
      <c r="K88" s="70">
        <f t="shared" si="51"/>
        <v>0.85526315789473673</v>
      </c>
      <c r="L88" s="70">
        <f t="shared" si="51"/>
        <v>0.90140845070422548</v>
      </c>
      <c r="M88" s="70">
        <f t="shared" si="51"/>
        <v>0.94029850746268662</v>
      </c>
      <c r="N88" s="70">
        <f t="shared" si="51"/>
        <v>0.953125</v>
      </c>
      <c r="O88" s="70">
        <f t="shared" si="51"/>
        <v>0.98360655737704916</v>
      </c>
      <c r="P88" s="70">
        <f t="shared" si="51"/>
        <v>1</v>
      </c>
    </row>
    <row r="89" spans="2:16" x14ac:dyDescent="0.25">
      <c r="B89" s="67" t="s">
        <v>61</v>
      </c>
      <c r="C89" s="70">
        <f t="shared" ref="C89:P89" si="52">C71/C$82-1</f>
        <v>0.5641025641025641</v>
      </c>
      <c r="D89" s="70">
        <f t="shared" si="52"/>
        <v>0.63529411764705879</v>
      </c>
      <c r="E89" s="70">
        <f t="shared" si="52"/>
        <v>0.69105691056910579</v>
      </c>
      <c r="F89" s="70">
        <f t="shared" si="52"/>
        <v>0.7474747474747474</v>
      </c>
      <c r="G89" s="70">
        <f t="shared" si="52"/>
        <v>0.8</v>
      </c>
      <c r="H89" s="70">
        <f t="shared" si="52"/>
        <v>0.82894736842105243</v>
      </c>
      <c r="I89" s="70">
        <f t="shared" si="52"/>
        <v>0.86956521739130443</v>
      </c>
      <c r="J89" s="70">
        <f t="shared" si="52"/>
        <v>0.71951219512195119</v>
      </c>
      <c r="K89" s="70">
        <f t="shared" si="52"/>
        <v>0.75</v>
      </c>
      <c r="L89" s="70">
        <f t="shared" si="52"/>
        <v>0.77464788732394374</v>
      </c>
      <c r="M89" s="70">
        <f t="shared" si="52"/>
        <v>0.80597014925373123</v>
      </c>
      <c r="N89" s="70">
        <f t="shared" si="52"/>
        <v>0.82812499999999978</v>
      </c>
      <c r="O89" s="70">
        <f t="shared" si="52"/>
        <v>0.85245901639344246</v>
      </c>
      <c r="P89" s="70">
        <f t="shared" si="52"/>
        <v>0.86440677966101709</v>
      </c>
    </row>
    <row r="90" spans="2:16" x14ac:dyDescent="0.25">
      <c r="B90" s="67" t="s">
        <v>62</v>
      </c>
      <c r="C90" s="70">
        <f t="shared" ref="C90:P90" si="53">C72/C$82-1</f>
        <v>0.53846153846153832</v>
      </c>
      <c r="D90" s="70">
        <f t="shared" si="53"/>
        <v>0.58823529411764719</v>
      </c>
      <c r="E90" s="70">
        <f t="shared" si="53"/>
        <v>0.62601626016260159</v>
      </c>
      <c r="F90" s="70">
        <f t="shared" si="53"/>
        <v>0.66666666666666652</v>
      </c>
      <c r="G90" s="70">
        <f t="shared" si="53"/>
        <v>0.69411764705882351</v>
      </c>
      <c r="H90" s="70">
        <f t="shared" si="53"/>
        <v>0.71052631578947367</v>
      </c>
      <c r="I90" s="70">
        <f t="shared" si="53"/>
        <v>0.73913043478260887</v>
      </c>
      <c r="J90" s="70">
        <f t="shared" si="53"/>
        <v>0.52439024390243905</v>
      </c>
      <c r="K90" s="70">
        <f t="shared" si="53"/>
        <v>0.38157894736842102</v>
      </c>
      <c r="L90" s="70">
        <f t="shared" si="53"/>
        <v>0.6619718309859155</v>
      </c>
      <c r="M90" s="70">
        <f t="shared" si="53"/>
        <v>0.68656716417910424</v>
      </c>
      <c r="N90" s="70">
        <f t="shared" si="53"/>
        <v>0.6875</v>
      </c>
      <c r="O90" s="70">
        <f t="shared" si="53"/>
        <v>0.7213114754098362</v>
      </c>
      <c r="P90" s="70">
        <f t="shared" si="53"/>
        <v>0.72881355932203395</v>
      </c>
    </row>
    <row r="91" spans="2:16" x14ac:dyDescent="0.25">
      <c r="B91" s="67" t="s">
        <v>63</v>
      </c>
      <c r="C91" s="70">
        <f t="shared" ref="C91:P91" si="54">C73/C$82-1</f>
        <v>0.50961538461538458</v>
      </c>
      <c r="D91" s="70">
        <f t="shared" si="54"/>
        <v>0.54117647058823537</v>
      </c>
      <c r="E91" s="70">
        <f t="shared" si="54"/>
        <v>0.56097560975609762</v>
      </c>
      <c r="F91" s="70">
        <f t="shared" si="54"/>
        <v>0.58585858585858586</v>
      </c>
      <c r="G91" s="70">
        <f t="shared" si="54"/>
        <v>0.60000000000000009</v>
      </c>
      <c r="H91" s="70">
        <f t="shared" si="54"/>
        <v>0.60526315789473673</v>
      </c>
      <c r="I91" s="70">
        <f t="shared" si="54"/>
        <v>0.62318840579710177</v>
      </c>
      <c r="J91" s="70">
        <f t="shared" si="54"/>
        <v>0.51219512195121952</v>
      </c>
      <c r="K91" s="70">
        <f t="shared" si="54"/>
        <v>0.52631578947368407</v>
      </c>
      <c r="L91" s="70">
        <f t="shared" si="54"/>
        <v>0.54929577464788748</v>
      </c>
      <c r="M91" s="70">
        <f t="shared" si="54"/>
        <v>0.56716417910447769</v>
      </c>
      <c r="N91" s="70">
        <f t="shared" si="54"/>
        <v>0.5625</v>
      </c>
      <c r="O91" s="70">
        <f t="shared" si="54"/>
        <v>0.57377049180327866</v>
      </c>
      <c r="P91" s="70">
        <f t="shared" si="54"/>
        <v>0.57627118644067821</v>
      </c>
    </row>
    <row r="92" spans="2:16" x14ac:dyDescent="0.25">
      <c r="B92" s="67" t="s">
        <v>64</v>
      </c>
      <c r="C92" s="70">
        <f t="shared" ref="C92:P92" si="55">C74/C$82-1</f>
        <v>0.48397435897435881</v>
      </c>
      <c r="D92" s="70">
        <f t="shared" si="55"/>
        <v>0.48823529411764688</v>
      </c>
      <c r="E92" s="70">
        <f t="shared" si="55"/>
        <v>0.48780487804878048</v>
      </c>
      <c r="F92" s="70">
        <f t="shared" si="55"/>
        <v>0.50505050505050497</v>
      </c>
      <c r="G92" s="70">
        <f t="shared" si="55"/>
        <v>0.50588235294117645</v>
      </c>
      <c r="H92" s="70">
        <f t="shared" si="55"/>
        <v>0.49999999999999978</v>
      </c>
      <c r="I92" s="70">
        <f t="shared" si="55"/>
        <v>0.50724637681159446</v>
      </c>
      <c r="J92" s="70">
        <f t="shared" si="55"/>
        <v>0.41463414634146334</v>
      </c>
      <c r="K92" s="70">
        <f t="shared" si="55"/>
        <v>0.42105263157894735</v>
      </c>
      <c r="L92" s="70">
        <f t="shared" si="55"/>
        <v>0.42253521126760574</v>
      </c>
      <c r="M92" s="70">
        <f t="shared" si="55"/>
        <v>0.43283582089552231</v>
      </c>
      <c r="N92" s="70">
        <f t="shared" si="55"/>
        <v>0.4375</v>
      </c>
      <c r="O92" s="70">
        <f t="shared" si="55"/>
        <v>0.44262295081967218</v>
      </c>
      <c r="P92" s="70">
        <f t="shared" si="55"/>
        <v>0.44067796610169485</v>
      </c>
    </row>
    <row r="93" spans="2:16" x14ac:dyDescent="0.25">
      <c r="B93" s="67" t="s">
        <v>65</v>
      </c>
      <c r="C93" s="70">
        <f t="shared" ref="C93:P93" si="56">C75/C$82-1</f>
        <v>0.45833333333333326</v>
      </c>
      <c r="D93" s="70">
        <f t="shared" si="56"/>
        <v>0.4411764705882355</v>
      </c>
      <c r="E93" s="70">
        <f t="shared" si="56"/>
        <v>0.4227642276422765</v>
      </c>
      <c r="F93" s="70">
        <f t="shared" si="56"/>
        <v>0.41414141414141414</v>
      </c>
      <c r="G93" s="70">
        <f t="shared" si="56"/>
        <v>0.39999999999999991</v>
      </c>
      <c r="H93" s="70">
        <f t="shared" si="56"/>
        <v>0.38157894736842102</v>
      </c>
      <c r="I93" s="70">
        <f t="shared" si="56"/>
        <v>0.37681159420289867</v>
      </c>
      <c r="J93" s="80">
        <f t="shared" si="56"/>
        <v>0.31707317073170738</v>
      </c>
      <c r="K93" s="80">
        <f t="shared" si="56"/>
        <v>0.31578947368421062</v>
      </c>
      <c r="L93" s="80">
        <f t="shared" si="56"/>
        <v>0.3098591549295775</v>
      </c>
      <c r="M93" s="80">
        <f t="shared" si="56"/>
        <v>0.31343283582089554</v>
      </c>
      <c r="N93" s="80">
        <f t="shared" si="56"/>
        <v>0.3125</v>
      </c>
      <c r="O93" s="80">
        <f t="shared" si="56"/>
        <v>0.3114754098360657</v>
      </c>
      <c r="P93" s="80">
        <f t="shared" si="56"/>
        <v>0.30508474576271194</v>
      </c>
    </row>
    <row r="94" spans="2:16" x14ac:dyDescent="0.25">
      <c r="B94" s="67" t="s">
        <v>66</v>
      </c>
      <c r="C94" s="80">
        <f t="shared" ref="C94:P94" si="57">C76/C$82-1</f>
        <v>0.42948717948717952</v>
      </c>
      <c r="D94" s="80">
        <f t="shared" si="57"/>
        <v>0.39411764705882368</v>
      </c>
      <c r="E94" s="80">
        <f t="shared" si="57"/>
        <v>0.35772357723577231</v>
      </c>
      <c r="F94" s="80">
        <f t="shared" si="57"/>
        <v>0.33333333333333348</v>
      </c>
      <c r="G94" s="80">
        <f t="shared" si="57"/>
        <v>0.30588235294117672</v>
      </c>
      <c r="H94" s="80">
        <f t="shared" si="57"/>
        <v>0.27631578947368407</v>
      </c>
      <c r="I94" s="80">
        <f t="shared" si="57"/>
        <v>0.26086956521739135</v>
      </c>
      <c r="J94" s="76">
        <f t="shared" si="57"/>
        <v>0.20731707317073167</v>
      </c>
      <c r="K94" s="76">
        <f t="shared" si="57"/>
        <v>0.19736842105263164</v>
      </c>
      <c r="L94" s="76">
        <f t="shared" si="57"/>
        <v>0.19718309859154926</v>
      </c>
      <c r="M94" s="76">
        <f t="shared" si="57"/>
        <v>0.19402985074626855</v>
      </c>
      <c r="N94" s="76">
        <f t="shared" si="57"/>
        <v>0.171875</v>
      </c>
      <c r="O94" s="76">
        <f t="shared" si="57"/>
        <v>0.16393442622950816</v>
      </c>
      <c r="P94" s="76">
        <f t="shared" si="57"/>
        <v>0.15254237288135597</v>
      </c>
    </row>
    <row r="95" spans="2:16" x14ac:dyDescent="0.25">
      <c r="B95" s="67" t="s">
        <v>55</v>
      </c>
      <c r="C95" s="80">
        <f t="shared" ref="C95:P95" si="58">C77/C$82-1</f>
        <v>0.40384615384615374</v>
      </c>
      <c r="D95" s="80">
        <f t="shared" si="58"/>
        <v>0.34117647058823519</v>
      </c>
      <c r="E95" s="80">
        <f t="shared" si="58"/>
        <v>0.29268292682926833</v>
      </c>
      <c r="F95" s="76">
        <f t="shared" si="58"/>
        <v>0.2525252525252526</v>
      </c>
      <c r="G95" s="76">
        <f t="shared" si="58"/>
        <v>0.21176470588235308</v>
      </c>
      <c r="H95" s="76">
        <f t="shared" si="58"/>
        <v>0.17105263157894735</v>
      </c>
      <c r="I95" s="76">
        <f t="shared" si="58"/>
        <v>0.14492753623188426</v>
      </c>
      <c r="J95" s="76">
        <f t="shared" si="58"/>
        <v>0.10975609756097571</v>
      </c>
      <c r="K95" s="76">
        <f t="shared" si="58"/>
        <v>9.210526315789469E-2</v>
      </c>
      <c r="L95" s="76">
        <f t="shared" si="58"/>
        <v>8.4507042253521236E-2</v>
      </c>
      <c r="M95" s="76">
        <f t="shared" si="58"/>
        <v>5.9701492537313383E-2</v>
      </c>
      <c r="N95" s="76">
        <f t="shared" si="58"/>
        <v>4.6875E-2</v>
      </c>
      <c r="O95" s="76">
        <f t="shared" si="58"/>
        <v>3.2786885245901676E-2</v>
      </c>
      <c r="P95" s="76">
        <f t="shared" si="58"/>
        <v>1.6949152542372836E-2</v>
      </c>
    </row>
    <row r="96" spans="2:16" x14ac:dyDescent="0.25">
      <c r="B96" s="67" t="s">
        <v>67</v>
      </c>
      <c r="C96" s="80">
        <f t="shared" ref="C96:P96" si="59">C78/C$82-1</f>
        <v>0.37820512820512819</v>
      </c>
      <c r="D96" s="80">
        <f t="shared" si="59"/>
        <v>0.29411764705882359</v>
      </c>
      <c r="E96" s="76">
        <f t="shared" si="59"/>
        <v>0.21951219512195119</v>
      </c>
      <c r="F96" s="76">
        <f t="shared" si="59"/>
        <v>0.16161616161616155</v>
      </c>
      <c r="G96" s="76">
        <f t="shared" si="59"/>
        <v>0.10588235294117654</v>
      </c>
      <c r="H96" s="76">
        <f t="shared" si="59"/>
        <v>5.2631578947368363E-2</v>
      </c>
      <c r="I96" s="76">
        <f t="shared" si="59"/>
        <v>1.449275362318847E-2</v>
      </c>
      <c r="J96" s="76">
        <f t="shared" si="59"/>
        <v>1.2195121951219523E-2</v>
      </c>
      <c r="K96" s="81">
        <f t="shared" si="59"/>
        <v>-1.3157894736842146E-2</v>
      </c>
      <c r="L96" s="81">
        <f t="shared" si="59"/>
        <v>-4.2253521126760396E-2</v>
      </c>
      <c r="M96" s="81">
        <f t="shared" si="59"/>
        <v>-5.9701492537313494E-2</v>
      </c>
      <c r="N96" s="81">
        <f t="shared" si="59"/>
        <v>-7.8125000000000111E-2</v>
      </c>
      <c r="O96" s="81">
        <f t="shared" si="59"/>
        <v>-9.8360655737704805E-2</v>
      </c>
      <c r="P96" s="81">
        <f t="shared" si="59"/>
        <v>-0.11864406779661008</v>
      </c>
    </row>
    <row r="97" spans="2:20" x14ac:dyDescent="0.25">
      <c r="B97" s="69" t="s">
        <v>57</v>
      </c>
      <c r="C97" s="72">
        <f t="shared" ref="C97:P97" si="60">C79/C$82-1</f>
        <v>0.15384615384615374</v>
      </c>
      <c r="D97" s="72">
        <f t="shared" si="60"/>
        <v>0.11176470588235299</v>
      </c>
      <c r="E97" s="72">
        <f t="shared" si="60"/>
        <v>7.3170731707317138E-2</v>
      </c>
      <c r="F97" s="72">
        <f t="shared" si="60"/>
        <v>5.0505050505050608E-2</v>
      </c>
      <c r="G97" s="72">
        <f t="shared" si="60"/>
        <v>2.3529411764705799E-2</v>
      </c>
      <c r="H97" s="72">
        <f t="shared" si="60"/>
        <v>-1.3157894736842146E-2</v>
      </c>
      <c r="I97" s="72">
        <f t="shared" si="60"/>
        <v>-2.8985507246376718E-2</v>
      </c>
      <c r="J97" s="72">
        <f t="shared" si="60"/>
        <v>-1.2195121951219412E-2</v>
      </c>
      <c r="K97" s="72">
        <f t="shared" si="60"/>
        <v>-2.6315789473684181E-2</v>
      </c>
      <c r="L97" s="72">
        <f t="shared" si="60"/>
        <v>-2.8169014084507116E-2</v>
      </c>
      <c r="M97" s="72">
        <f t="shared" si="60"/>
        <v>-4.4776119402985093E-2</v>
      </c>
      <c r="N97" s="72">
        <f t="shared" si="60"/>
        <v>-6.25E-2</v>
      </c>
      <c r="O97" s="72">
        <f t="shared" si="60"/>
        <v>-6.5573770491803351E-2</v>
      </c>
      <c r="P97" s="72">
        <f t="shared" si="60"/>
        <v>-8.4745762711864292E-2</v>
      </c>
    </row>
    <row r="98" spans="2:20" x14ac:dyDescent="0.25">
      <c r="B98" s="68" t="s">
        <v>58</v>
      </c>
      <c r="C98" s="73">
        <v>0</v>
      </c>
      <c r="D98" s="73">
        <v>0</v>
      </c>
      <c r="E98" s="73">
        <v>0</v>
      </c>
      <c r="F98" s="73">
        <v>0</v>
      </c>
      <c r="G98" s="73">
        <v>0</v>
      </c>
      <c r="H98" s="73">
        <v>0</v>
      </c>
      <c r="I98" s="73">
        <v>0</v>
      </c>
      <c r="J98" s="73">
        <v>0</v>
      </c>
      <c r="K98" s="73">
        <v>0</v>
      </c>
      <c r="L98" s="73">
        <v>0</v>
      </c>
      <c r="M98" s="73">
        <v>0</v>
      </c>
      <c r="N98" s="73">
        <v>0</v>
      </c>
      <c r="O98" s="73">
        <v>0</v>
      </c>
      <c r="P98" s="73">
        <v>0</v>
      </c>
    </row>
    <row r="102" spans="2:20" x14ac:dyDescent="0.25">
      <c r="B102" t="s">
        <v>92</v>
      </c>
      <c r="C102" s="54" t="s">
        <v>73</v>
      </c>
      <c r="D102" s="54" t="s">
        <v>74</v>
      </c>
      <c r="E102" s="54" t="s">
        <v>75</v>
      </c>
      <c r="F102" s="54" t="s">
        <v>76</v>
      </c>
      <c r="G102" s="54" t="s">
        <v>77</v>
      </c>
      <c r="H102" s="54" t="s">
        <v>78</v>
      </c>
      <c r="I102" s="54" t="s">
        <v>79</v>
      </c>
      <c r="J102" s="54" t="s">
        <v>80</v>
      </c>
      <c r="K102" s="54" t="s">
        <v>81</v>
      </c>
      <c r="L102" s="54" t="s">
        <v>82</v>
      </c>
      <c r="M102" s="54" t="s">
        <v>83</v>
      </c>
      <c r="N102" s="54" t="s">
        <v>84</v>
      </c>
      <c r="O102" s="54" t="s">
        <v>85</v>
      </c>
      <c r="P102" s="54" t="s">
        <v>86</v>
      </c>
    </row>
    <row r="103" spans="2:20" x14ac:dyDescent="0.25">
      <c r="B103" s="74" t="s">
        <v>56</v>
      </c>
      <c r="C103" s="75">
        <f t="shared" ref="C103:P103" si="61">C69/C$16-1</f>
        <v>0.60317460317460325</v>
      </c>
      <c r="D103" s="75">
        <f t="shared" si="61"/>
        <v>0.70520231213872853</v>
      </c>
      <c r="E103" s="75">
        <f t="shared" si="61"/>
        <v>0.78571428571428581</v>
      </c>
      <c r="F103" s="75">
        <f t="shared" si="61"/>
        <v>0.84466019417475713</v>
      </c>
      <c r="G103" s="75">
        <f t="shared" si="61"/>
        <v>0.92045454545454541</v>
      </c>
      <c r="H103" s="75">
        <f t="shared" si="61"/>
        <v>0.96202531645569622</v>
      </c>
      <c r="I103" s="75">
        <f t="shared" si="61"/>
        <v>1.0138888888888888</v>
      </c>
      <c r="J103" s="75">
        <f t="shared" si="61"/>
        <v>0.85882352941176476</v>
      </c>
      <c r="K103" s="75">
        <f t="shared" si="61"/>
        <v>0.88607594936708844</v>
      </c>
      <c r="L103" s="75">
        <f t="shared" si="61"/>
        <v>0.93243243243243246</v>
      </c>
      <c r="M103" s="75">
        <f t="shared" si="61"/>
        <v>0.97142857142857131</v>
      </c>
      <c r="N103" s="75">
        <f t="shared" si="61"/>
        <v>0.9850746268656716</v>
      </c>
      <c r="O103" s="75">
        <f t="shared" si="61"/>
        <v>1</v>
      </c>
      <c r="P103" s="75">
        <f t="shared" si="61"/>
        <v>1.0483870967741935</v>
      </c>
    </row>
    <row r="104" spans="2:20" x14ac:dyDescent="0.25">
      <c r="B104" s="74" t="s">
        <v>60</v>
      </c>
      <c r="C104" s="75">
        <f t="shared" ref="C104:P104" si="62">C70/C$16-1</f>
        <v>0.57460317460317456</v>
      </c>
      <c r="D104" s="75">
        <f t="shared" si="62"/>
        <v>0.65895953757225434</v>
      </c>
      <c r="E104" s="75">
        <f t="shared" si="62"/>
        <v>0.7222222222222221</v>
      </c>
      <c r="F104" s="75">
        <f t="shared" si="62"/>
        <v>0.76699029126213603</v>
      </c>
      <c r="G104" s="75">
        <f t="shared" si="62"/>
        <v>0.82954545454545459</v>
      </c>
      <c r="H104" s="75">
        <f t="shared" si="62"/>
        <v>0.860759493670886</v>
      </c>
      <c r="I104" s="75">
        <f t="shared" si="62"/>
        <v>0.9027777777777779</v>
      </c>
      <c r="J104" s="75">
        <f t="shared" si="62"/>
        <v>0.75294117647058822</v>
      </c>
      <c r="K104" s="75">
        <f t="shared" si="62"/>
        <v>0.78481012658227822</v>
      </c>
      <c r="L104" s="75">
        <f t="shared" si="62"/>
        <v>0.82432432432432456</v>
      </c>
      <c r="M104" s="75">
        <f t="shared" si="62"/>
        <v>0.85714285714285743</v>
      </c>
      <c r="N104" s="75">
        <f t="shared" si="62"/>
        <v>0.86567164179104461</v>
      </c>
      <c r="O104" s="75">
        <f t="shared" si="62"/>
        <v>0.86153846153846136</v>
      </c>
      <c r="P104" s="75">
        <f t="shared" si="62"/>
        <v>0.90322580645161277</v>
      </c>
    </row>
    <row r="105" spans="2:20" x14ac:dyDescent="0.25">
      <c r="B105" s="74" t="s">
        <v>61</v>
      </c>
      <c r="C105" s="75">
        <f t="shared" ref="C105:P105" si="63">C71/C$16-1</f>
        <v>0.54920634920634925</v>
      </c>
      <c r="D105" s="75">
        <f t="shared" si="63"/>
        <v>0.60693641618497107</v>
      </c>
      <c r="E105" s="75">
        <f t="shared" si="63"/>
        <v>0.65079365079365092</v>
      </c>
      <c r="F105" s="75">
        <f t="shared" si="63"/>
        <v>0.67961165048543681</v>
      </c>
      <c r="G105" s="75">
        <f t="shared" si="63"/>
        <v>0.73863636363636376</v>
      </c>
      <c r="H105" s="75">
        <f t="shared" si="63"/>
        <v>0.75949367088607578</v>
      </c>
      <c r="I105" s="75">
        <f t="shared" si="63"/>
        <v>0.79166666666666674</v>
      </c>
      <c r="J105" s="75">
        <f t="shared" si="63"/>
        <v>0.65882352941176459</v>
      </c>
      <c r="K105" s="75">
        <f t="shared" si="63"/>
        <v>0.68354430379746844</v>
      </c>
      <c r="L105" s="75">
        <f t="shared" si="63"/>
        <v>0.70270270270270263</v>
      </c>
      <c r="M105" s="75">
        <f t="shared" si="63"/>
        <v>0.72857142857142865</v>
      </c>
      <c r="N105" s="75">
        <f t="shared" si="63"/>
        <v>0.74626865671641762</v>
      </c>
      <c r="O105" s="75">
        <f t="shared" si="63"/>
        <v>0.73846153846153828</v>
      </c>
      <c r="P105" s="75">
        <f t="shared" si="63"/>
        <v>0.77419354838709697</v>
      </c>
    </row>
    <row r="106" spans="2:20" x14ac:dyDescent="0.25">
      <c r="B106" s="74" t="s">
        <v>62</v>
      </c>
      <c r="C106" s="75">
        <f t="shared" ref="C106:P106" si="64">C72/C$16-1</f>
        <v>0.52380952380952372</v>
      </c>
      <c r="D106" s="75">
        <f t="shared" si="64"/>
        <v>0.56069364161849733</v>
      </c>
      <c r="E106" s="75">
        <f t="shared" si="64"/>
        <v>0.58730158730158721</v>
      </c>
      <c r="F106" s="75">
        <f t="shared" si="64"/>
        <v>0.60194174757281549</v>
      </c>
      <c r="G106" s="75">
        <f t="shared" si="64"/>
        <v>0.63636363636363624</v>
      </c>
      <c r="H106" s="75">
        <f t="shared" si="64"/>
        <v>0.64556962025316444</v>
      </c>
      <c r="I106" s="75">
        <f t="shared" si="64"/>
        <v>0.66666666666666674</v>
      </c>
      <c r="J106" s="75">
        <f t="shared" si="64"/>
        <v>0.47058823529411775</v>
      </c>
      <c r="K106" s="75">
        <f t="shared" si="64"/>
        <v>0.32911392405063289</v>
      </c>
      <c r="L106" s="75">
        <f t="shared" si="64"/>
        <v>0.59459459459459452</v>
      </c>
      <c r="M106" s="75">
        <f t="shared" si="64"/>
        <v>0.61428571428571432</v>
      </c>
      <c r="N106" s="75">
        <f t="shared" si="64"/>
        <v>0.61194029850746268</v>
      </c>
      <c r="O106" s="75">
        <f t="shared" si="64"/>
        <v>0.61538461538461542</v>
      </c>
      <c r="P106" s="75">
        <f t="shared" si="64"/>
        <v>0.64516129032258074</v>
      </c>
      <c r="T106" s="108"/>
    </row>
    <row r="107" spans="2:20" x14ac:dyDescent="0.25">
      <c r="B107" s="74" t="s">
        <v>63</v>
      </c>
      <c r="C107" s="75">
        <f t="shared" ref="C107:P107" si="65">C73/C$16-1</f>
        <v>0.49523809523809526</v>
      </c>
      <c r="D107" s="75">
        <f t="shared" si="65"/>
        <v>0.51445086705202314</v>
      </c>
      <c r="E107" s="75">
        <f t="shared" si="65"/>
        <v>0.52380952380952372</v>
      </c>
      <c r="F107" s="75">
        <f t="shared" si="65"/>
        <v>0.52427184466019416</v>
      </c>
      <c r="G107" s="75">
        <f t="shared" si="65"/>
        <v>0.54545454545454564</v>
      </c>
      <c r="H107" s="75">
        <f t="shared" si="65"/>
        <v>0.54430379746835422</v>
      </c>
      <c r="I107" s="75">
        <f t="shared" si="65"/>
        <v>0.5555555555555558</v>
      </c>
      <c r="J107" s="75">
        <f t="shared" si="65"/>
        <v>0.45882352941176463</v>
      </c>
      <c r="K107" s="75">
        <f t="shared" si="65"/>
        <v>0.46835443037974667</v>
      </c>
      <c r="L107" s="75">
        <f t="shared" si="65"/>
        <v>0.48648648648648662</v>
      </c>
      <c r="M107" s="75">
        <f t="shared" si="65"/>
        <v>0.50000000000000022</v>
      </c>
      <c r="N107" s="75">
        <f t="shared" si="65"/>
        <v>0.49253731343283569</v>
      </c>
      <c r="O107" s="75">
        <f t="shared" si="65"/>
        <v>0.47692307692307678</v>
      </c>
      <c r="P107" s="75">
        <f t="shared" si="65"/>
        <v>0.5</v>
      </c>
    </row>
    <row r="108" spans="2:20" x14ac:dyDescent="0.25">
      <c r="B108" s="74" t="s">
        <v>64</v>
      </c>
      <c r="C108" s="75">
        <f t="shared" ref="C108:P108" si="66">C74/C$16-1</f>
        <v>0.46984126984126995</v>
      </c>
      <c r="D108" s="75">
        <f t="shared" si="66"/>
        <v>0.46242774566473988</v>
      </c>
      <c r="E108" s="75">
        <f t="shared" si="66"/>
        <v>0.45238095238095233</v>
      </c>
      <c r="F108" s="75">
        <f t="shared" si="66"/>
        <v>0.44660194174757284</v>
      </c>
      <c r="G108" s="75">
        <f t="shared" si="66"/>
        <v>0.45454545454545459</v>
      </c>
      <c r="H108" s="75">
        <f t="shared" si="66"/>
        <v>0.44303797468354422</v>
      </c>
      <c r="I108" s="75">
        <f t="shared" si="66"/>
        <v>0.44444444444444464</v>
      </c>
      <c r="J108" s="75">
        <f t="shared" si="66"/>
        <v>0.36470588235294121</v>
      </c>
      <c r="K108" s="75">
        <f t="shared" si="66"/>
        <v>0.36708860759493667</v>
      </c>
      <c r="L108" s="75">
        <f t="shared" si="66"/>
        <v>0.36486486486486491</v>
      </c>
      <c r="M108" s="75">
        <f t="shared" si="66"/>
        <v>0.37142857142857144</v>
      </c>
      <c r="N108" s="75">
        <f t="shared" si="66"/>
        <v>0.37313432835820892</v>
      </c>
      <c r="O108" s="75">
        <f t="shared" si="66"/>
        <v>0.3538461538461537</v>
      </c>
      <c r="P108" s="75">
        <f t="shared" si="66"/>
        <v>0.37096774193548376</v>
      </c>
    </row>
    <row r="109" spans="2:20" x14ac:dyDescent="0.25">
      <c r="B109" s="74" t="s">
        <v>65</v>
      </c>
      <c r="C109" s="75">
        <f t="shared" ref="C109:P109" si="67">C75/C$16-1</f>
        <v>0.44444444444444442</v>
      </c>
      <c r="D109" s="75">
        <f t="shared" si="67"/>
        <v>0.41618497109826591</v>
      </c>
      <c r="E109" s="75">
        <f t="shared" si="67"/>
        <v>0.38888888888888884</v>
      </c>
      <c r="F109" s="75">
        <f t="shared" si="67"/>
        <v>0.35922330097087363</v>
      </c>
      <c r="G109" s="75">
        <f t="shared" si="67"/>
        <v>0.35227272727272729</v>
      </c>
      <c r="H109" s="75">
        <f t="shared" si="67"/>
        <v>0.32911392405063289</v>
      </c>
      <c r="I109" s="75">
        <f t="shared" si="67"/>
        <v>0.31944444444444442</v>
      </c>
      <c r="J109" s="75">
        <f t="shared" si="67"/>
        <v>0.2705882352941178</v>
      </c>
      <c r="K109" s="75">
        <f t="shared" si="67"/>
        <v>0.26582278481012644</v>
      </c>
      <c r="L109" s="75">
        <f t="shared" si="67"/>
        <v>0.2567567567567568</v>
      </c>
      <c r="M109" s="75">
        <f t="shared" si="67"/>
        <v>0.25714285714285734</v>
      </c>
      <c r="N109" s="75">
        <f t="shared" si="67"/>
        <v>0.25373134328358193</v>
      </c>
      <c r="O109" s="75">
        <f t="shared" si="67"/>
        <v>0.23076923076923084</v>
      </c>
      <c r="P109" s="75">
        <f t="shared" si="67"/>
        <v>0.24193548387096775</v>
      </c>
    </row>
    <row r="110" spans="2:20" x14ac:dyDescent="0.25">
      <c r="B110" s="74" t="s">
        <v>66</v>
      </c>
      <c r="C110" s="75">
        <f t="shared" ref="C110:P110" si="68">C76/C$16-1</f>
        <v>0.41587301587301595</v>
      </c>
      <c r="D110" s="80">
        <f t="shared" si="68"/>
        <v>0.36994219653179194</v>
      </c>
      <c r="E110" s="80">
        <f t="shared" si="68"/>
        <v>0.32539682539682535</v>
      </c>
      <c r="F110" s="80">
        <f t="shared" si="68"/>
        <v>0.28155339805825252</v>
      </c>
      <c r="G110" s="80">
        <f t="shared" si="68"/>
        <v>0.26136363636363646</v>
      </c>
      <c r="H110" s="76">
        <f t="shared" si="68"/>
        <v>0.22784810126582267</v>
      </c>
      <c r="I110" s="76">
        <f t="shared" si="68"/>
        <v>0.20833333333333348</v>
      </c>
      <c r="J110" s="76">
        <f t="shared" si="68"/>
        <v>0.16470588235294126</v>
      </c>
      <c r="K110" s="76">
        <f t="shared" si="68"/>
        <v>0.15189873417721511</v>
      </c>
      <c r="L110" s="76">
        <f t="shared" si="68"/>
        <v>0.14864864864864868</v>
      </c>
      <c r="M110" s="76">
        <f t="shared" si="68"/>
        <v>0.14285714285714302</v>
      </c>
      <c r="N110" s="76">
        <f t="shared" si="68"/>
        <v>0.11940298507462677</v>
      </c>
      <c r="O110" s="76">
        <f t="shared" si="68"/>
        <v>9.2307692307692202E-2</v>
      </c>
      <c r="P110" s="76">
        <f t="shared" si="68"/>
        <v>9.6774193548387233E-2</v>
      </c>
      <c r="S110" s="109"/>
      <c r="T110" s="110"/>
    </row>
    <row r="111" spans="2:20" x14ac:dyDescent="0.25">
      <c r="B111" s="74" t="s">
        <v>55</v>
      </c>
      <c r="C111" s="80">
        <f t="shared" ref="C111:P111" si="69">C77/C$16-1</f>
        <v>0.39047619047619042</v>
      </c>
      <c r="D111" s="80">
        <f t="shared" si="69"/>
        <v>0.31791907514450868</v>
      </c>
      <c r="E111" s="80">
        <f t="shared" si="69"/>
        <v>0.26190476190476186</v>
      </c>
      <c r="F111" s="76">
        <f t="shared" si="69"/>
        <v>0.20388349514563098</v>
      </c>
      <c r="G111" s="76">
        <f t="shared" si="69"/>
        <v>0.17045454545454541</v>
      </c>
      <c r="H111" s="76">
        <f t="shared" si="69"/>
        <v>0.12658227848101267</v>
      </c>
      <c r="I111" s="76">
        <f t="shared" si="69"/>
        <v>9.7222222222222321E-2</v>
      </c>
      <c r="J111" s="76">
        <f t="shared" si="69"/>
        <v>7.0588235294117618E-2</v>
      </c>
      <c r="K111" s="76">
        <f t="shared" si="69"/>
        <v>5.0632911392404889E-2</v>
      </c>
      <c r="L111" s="76">
        <f t="shared" si="69"/>
        <v>4.0540540540540571E-2</v>
      </c>
      <c r="M111" s="76">
        <f t="shared" si="69"/>
        <v>1.4285714285714235E-2</v>
      </c>
      <c r="N111" s="81">
        <f t="shared" si="69"/>
        <v>0</v>
      </c>
      <c r="O111" s="81">
        <f t="shared" si="69"/>
        <v>-3.0769230769230771E-2</v>
      </c>
      <c r="P111" s="81">
        <f t="shared" si="69"/>
        <v>-3.2258064516129115E-2</v>
      </c>
    </row>
    <row r="112" spans="2:20" x14ac:dyDescent="0.25">
      <c r="B112" s="74" t="s">
        <v>67</v>
      </c>
      <c r="C112" s="76">
        <f t="shared" ref="C112:P112" si="70">C78/C$16-1</f>
        <v>0.36507936507936511</v>
      </c>
      <c r="D112" s="76">
        <f t="shared" si="70"/>
        <v>0.27167630057803471</v>
      </c>
      <c r="E112" s="76">
        <f t="shared" si="70"/>
        <v>0.19047619047619047</v>
      </c>
      <c r="F112" s="76">
        <f t="shared" si="70"/>
        <v>0.11650485436893199</v>
      </c>
      <c r="G112" s="76">
        <f t="shared" si="70"/>
        <v>6.8181818181818121E-2</v>
      </c>
      <c r="H112" s="76">
        <f t="shared" si="70"/>
        <v>1.2658227848101333E-2</v>
      </c>
      <c r="I112" s="81">
        <f t="shared" si="70"/>
        <v>-2.777777777777779E-2</v>
      </c>
      <c r="J112" s="81">
        <f t="shared" si="70"/>
        <v>-2.352941176470591E-2</v>
      </c>
      <c r="K112" s="81">
        <f t="shared" si="70"/>
        <v>-5.0632911392405111E-2</v>
      </c>
      <c r="L112" s="81">
        <f t="shared" si="70"/>
        <v>-8.108108108108103E-2</v>
      </c>
      <c r="M112" s="81">
        <f t="shared" si="70"/>
        <v>-9.9999999999999978E-2</v>
      </c>
      <c r="N112" s="81">
        <f t="shared" si="70"/>
        <v>-0.11940298507462699</v>
      </c>
      <c r="O112" s="81">
        <f t="shared" si="70"/>
        <v>-0.15384615384615385</v>
      </c>
      <c r="P112" s="81">
        <f t="shared" si="70"/>
        <v>-0.16129032258064513</v>
      </c>
    </row>
    <row r="113" spans="2:16" x14ac:dyDescent="0.25">
      <c r="B113" s="77" t="s">
        <v>57</v>
      </c>
      <c r="C113" s="77">
        <f t="shared" ref="C113:P113" si="71">C79/C$16-1</f>
        <v>0.14285714285714302</v>
      </c>
      <c r="D113" s="77">
        <f t="shared" si="71"/>
        <v>9.2485549132947931E-2</v>
      </c>
      <c r="E113" s="77">
        <f t="shared" si="71"/>
        <v>4.7619047619047672E-2</v>
      </c>
      <c r="F113" s="77">
        <f t="shared" si="71"/>
        <v>9.7087378640776656E-3</v>
      </c>
      <c r="G113" s="77">
        <f t="shared" si="71"/>
        <v>-1.1363636363636354E-2</v>
      </c>
      <c r="H113" s="77">
        <f t="shared" si="71"/>
        <v>-5.0632911392405111E-2</v>
      </c>
      <c r="I113" s="77">
        <f t="shared" si="71"/>
        <v>-6.9444444444444309E-2</v>
      </c>
      <c r="J113" s="77">
        <f t="shared" si="71"/>
        <v>-4.7058823529411709E-2</v>
      </c>
      <c r="K113" s="77">
        <f t="shared" si="71"/>
        <v>-6.3291139240506333E-2</v>
      </c>
      <c r="L113" s="77">
        <f t="shared" si="71"/>
        <v>-6.7567567567567655E-2</v>
      </c>
      <c r="M113" s="77">
        <f t="shared" si="71"/>
        <v>-8.5714285714285632E-2</v>
      </c>
      <c r="N113" s="77">
        <f t="shared" si="71"/>
        <v>-0.10447761194029859</v>
      </c>
      <c r="O113" s="77">
        <f t="shared" si="71"/>
        <v>-0.12307692307692319</v>
      </c>
      <c r="P113" s="77">
        <f t="shared" si="71"/>
        <v>-0.12903225806451601</v>
      </c>
    </row>
    <row r="114" spans="2:16" x14ac:dyDescent="0.25">
      <c r="B114" s="78" t="s">
        <v>71</v>
      </c>
      <c r="C114" s="73">
        <f t="shared" ref="C114:P114" si="72">C82/C$17-1</f>
        <v>0</v>
      </c>
      <c r="D114" s="73">
        <f t="shared" si="72"/>
        <v>0</v>
      </c>
      <c r="E114" s="73">
        <f t="shared" si="72"/>
        <v>0</v>
      </c>
      <c r="F114" s="73">
        <f t="shared" si="72"/>
        <v>0</v>
      </c>
      <c r="G114" s="73">
        <f t="shared" si="72"/>
        <v>0</v>
      </c>
      <c r="H114" s="73">
        <f t="shared" si="72"/>
        <v>0</v>
      </c>
      <c r="I114" s="73">
        <f t="shared" si="72"/>
        <v>0</v>
      </c>
      <c r="J114" s="73">
        <f t="shared" si="72"/>
        <v>0</v>
      </c>
      <c r="K114" s="73">
        <f t="shared" si="72"/>
        <v>0</v>
      </c>
      <c r="L114" s="73">
        <f t="shared" si="72"/>
        <v>0</v>
      </c>
      <c r="M114" s="73">
        <f t="shared" si="72"/>
        <v>0</v>
      </c>
      <c r="N114" s="73">
        <f t="shared" si="72"/>
        <v>0</v>
      </c>
      <c r="O114" s="73">
        <f t="shared" si="72"/>
        <v>0</v>
      </c>
      <c r="P114" s="73">
        <f t="shared" si="72"/>
        <v>0</v>
      </c>
    </row>
    <row r="118" spans="2:16" x14ac:dyDescent="0.25">
      <c r="B118" t="s">
        <v>93</v>
      </c>
      <c r="C118" s="54" t="s">
        <v>73</v>
      </c>
      <c r="D118" s="54" t="s">
        <v>74</v>
      </c>
      <c r="E118" s="54" t="s">
        <v>75</v>
      </c>
      <c r="F118" s="54" t="s">
        <v>76</v>
      </c>
      <c r="G118" s="54" t="s">
        <v>77</v>
      </c>
      <c r="H118" s="54" t="s">
        <v>78</v>
      </c>
      <c r="I118" s="54" t="s">
        <v>79</v>
      </c>
      <c r="J118" s="54" t="s">
        <v>80</v>
      </c>
      <c r="K118" s="54" t="s">
        <v>81</v>
      </c>
      <c r="L118" s="54" t="s">
        <v>82</v>
      </c>
      <c r="M118" s="54" t="s">
        <v>83</v>
      </c>
      <c r="N118" s="54" t="s">
        <v>84</v>
      </c>
      <c r="O118" s="54" t="s">
        <v>85</v>
      </c>
      <c r="P118" s="54" t="s">
        <v>86</v>
      </c>
    </row>
    <row r="119" spans="2:16" x14ac:dyDescent="0.25">
      <c r="B119" s="74" t="s">
        <v>56</v>
      </c>
      <c r="C119" s="75">
        <f t="shared" ref="C119:P119" si="73">C69/C$15-1</f>
        <v>0.58307210031347956</v>
      </c>
      <c r="D119" s="75">
        <f t="shared" si="73"/>
        <v>0.66666666666666674</v>
      </c>
      <c r="E119" s="75">
        <f t="shared" si="73"/>
        <v>0.7441860465116279</v>
      </c>
      <c r="F119" s="75">
        <f t="shared" si="73"/>
        <v>0.79245283018867907</v>
      </c>
      <c r="G119" s="75">
        <f t="shared" si="73"/>
        <v>0.83695652173913038</v>
      </c>
      <c r="H119" s="75">
        <f t="shared" si="73"/>
        <v>0.89024390243902451</v>
      </c>
      <c r="I119" s="75">
        <f t="shared" si="73"/>
        <v>0.93333333333333335</v>
      </c>
      <c r="J119" s="75">
        <f t="shared" si="73"/>
        <v>0.79545454545454564</v>
      </c>
      <c r="K119" s="75">
        <f t="shared" si="73"/>
        <v>0.81707317073170738</v>
      </c>
      <c r="L119" s="75">
        <f t="shared" si="73"/>
        <v>0.83333333333333326</v>
      </c>
      <c r="M119" s="75">
        <f t="shared" si="73"/>
        <v>0.46808510638297873</v>
      </c>
      <c r="N119" s="75">
        <f t="shared" si="73"/>
        <v>0.49438202247191021</v>
      </c>
      <c r="O119" s="75">
        <f t="shared" si="73"/>
        <v>0.52941176470588247</v>
      </c>
      <c r="P119" s="75">
        <f t="shared" si="73"/>
        <v>0.54878048780487809</v>
      </c>
    </row>
    <row r="120" spans="2:16" x14ac:dyDescent="0.25">
      <c r="B120" s="74" t="s">
        <v>60</v>
      </c>
      <c r="C120" s="75">
        <f t="shared" ref="C120:P120" si="74">C70/C$15-1</f>
        <v>0.55485893416927912</v>
      </c>
      <c r="D120" s="75">
        <f t="shared" si="74"/>
        <v>0.62146892655367236</v>
      </c>
      <c r="E120" s="75">
        <f t="shared" si="74"/>
        <v>0.68217054263565879</v>
      </c>
      <c r="F120" s="75">
        <f t="shared" si="74"/>
        <v>0.71698113207547176</v>
      </c>
      <c r="G120" s="75">
        <f t="shared" si="74"/>
        <v>0.75</v>
      </c>
      <c r="H120" s="75">
        <f t="shared" si="74"/>
        <v>0.79268292682926833</v>
      </c>
      <c r="I120" s="75">
        <f t="shared" si="74"/>
        <v>0.82666666666666688</v>
      </c>
      <c r="J120" s="75">
        <f t="shared" si="74"/>
        <v>0.69318181818181812</v>
      </c>
      <c r="K120" s="75">
        <f t="shared" si="74"/>
        <v>0.71951219512195119</v>
      </c>
      <c r="L120" s="75">
        <f t="shared" si="74"/>
        <v>0.73076923076923084</v>
      </c>
      <c r="M120" s="75">
        <f t="shared" si="74"/>
        <v>0.38297872340425543</v>
      </c>
      <c r="N120" s="75">
        <f t="shared" si="74"/>
        <v>0.40449438202247179</v>
      </c>
      <c r="O120" s="75">
        <f t="shared" si="74"/>
        <v>0.42352941176470593</v>
      </c>
      <c r="P120" s="75">
        <f t="shared" si="74"/>
        <v>0.43902439024390238</v>
      </c>
    </row>
    <row r="121" spans="2:16" x14ac:dyDescent="0.25">
      <c r="B121" s="74" t="s">
        <v>61</v>
      </c>
      <c r="C121" s="75">
        <f t="shared" ref="C121:P121" si="75">C71/C$15-1</f>
        <v>0.52978056426332287</v>
      </c>
      <c r="D121" s="75">
        <f t="shared" si="75"/>
        <v>0.57062146892655363</v>
      </c>
      <c r="E121" s="75">
        <f t="shared" si="75"/>
        <v>0.61240310077519378</v>
      </c>
      <c r="F121" s="75">
        <f t="shared" si="75"/>
        <v>0.63207547169811318</v>
      </c>
      <c r="G121" s="75">
        <f t="shared" si="75"/>
        <v>0.66304347826086962</v>
      </c>
      <c r="H121" s="75">
        <f t="shared" si="75"/>
        <v>0.69512195121951215</v>
      </c>
      <c r="I121" s="75">
        <f t="shared" si="75"/>
        <v>0.72</v>
      </c>
      <c r="J121" s="75">
        <f t="shared" si="75"/>
        <v>0.60227272727272707</v>
      </c>
      <c r="K121" s="75">
        <f t="shared" si="75"/>
        <v>0.62195121951219523</v>
      </c>
      <c r="L121" s="75">
        <f t="shared" si="75"/>
        <v>0.61538461538461542</v>
      </c>
      <c r="M121" s="75">
        <f t="shared" si="75"/>
        <v>0.28723404255319163</v>
      </c>
      <c r="N121" s="75">
        <f t="shared" si="75"/>
        <v>0.31460674157303359</v>
      </c>
      <c r="O121" s="75">
        <f t="shared" si="75"/>
        <v>0.32941176470588229</v>
      </c>
      <c r="P121" s="75">
        <f t="shared" si="75"/>
        <v>0.34146341463414642</v>
      </c>
    </row>
    <row r="122" spans="2:16" x14ac:dyDescent="0.25">
      <c r="B122" s="74" t="s">
        <v>62</v>
      </c>
      <c r="C122" s="75">
        <f t="shared" ref="C122:P122" si="76">C72/C$15-1</f>
        <v>0.50470219435736685</v>
      </c>
      <c r="D122" s="75">
        <f t="shared" si="76"/>
        <v>0.52542372881355948</v>
      </c>
      <c r="E122" s="75">
        <f t="shared" si="76"/>
        <v>0.55038759689922467</v>
      </c>
      <c r="F122" s="75">
        <f t="shared" si="76"/>
        <v>0.55660377358490543</v>
      </c>
      <c r="G122" s="75">
        <f t="shared" si="76"/>
        <v>0.56521739130434767</v>
      </c>
      <c r="H122" s="75">
        <f t="shared" si="76"/>
        <v>0.58536585365853666</v>
      </c>
      <c r="I122" s="75">
        <f t="shared" si="76"/>
        <v>0.59999999999999987</v>
      </c>
      <c r="J122" s="75">
        <f t="shared" si="76"/>
        <v>0.42045454545454541</v>
      </c>
      <c r="K122" s="75">
        <f t="shared" si="76"/>
        <v>0.28048780487804881</v>
      </c>
      <c r="L122" s="75">
        <f t="shared" si="76"/>
        <v>0.51282051282051277</v>
      </c>
      <c r="M122" s="75">
        <f t="shared" si="76"/>
        <v>0.2021276595744681</v>
      </c>
      <c r="N122" s="75">
        <f t="shared" si="76"/>
        <v>0.21348314606741581</v>
      </c>
      <c r="O122" s="75">
        <f t="shared" si="76"/>
        <v>0.23529411764705888</v>
      </c>
      <c r="P122" s="75">
        <f t="shared" si="76"/>
        <v>0.24390243902439024</v>
      </c>
    </row>
    <row r="123" spans="2:16" x14ac:dyDescent="0.25">
      <c r="B123" s="74" t="s">
        <v>63</v>
      </c>
      <c r="C123" s="75">
        <f t="shared" ref="C123:P123" si="77">C73/C$15-1</f>
        <v>0.47648902821316619</v>
      </c>
      <c r="D123" s="75">
        <f t="shared" si="77"/>
        <v>0.4802259887005651</v>
      </c>
      <c r="E123" s="75">
        <f t="shared" si="77"/>
        <v>0.48837209302325579</v>
      </c>
      <c r="F123" s="75">
        <f t="shared" si="77"/>
        <v>0.48113207547169812</v>
      </c>
      <c r="G123" s="75">
        <f t="shared" si="77"/>
        <v>0.47826086956521752</v>
      </c>
      <c r="H123" s="75">
        <f t="shared" si="77"/>
        <v>0.48780487804878048</v>
      </c>
      <c r="I123" s="75">
        <f t="shared" si="77"/>
        <v>0.4933333333333334</v>
      </c>
      <c r="J123" s="75">
        <f t="shared" si="77"/>
        <v>0.40909090909090917</v>
      </c>
      <c r="K123" s="75">
        <f t="shared" si="77"/>
        <v>0.41463414634146334</v>
      </c>
      <c r="L123" s="75">
        <f t="shared" si="77"/>
        <v>0.41025641025641035</v>
      </c>
      <c r="M123" s="75">
        <f t="shared" si="77"/>
        <v>0.11702127659574479</v>
      </c>
      <c r="N123" s="75">
        <f t="shared" si="77"/>
        <v>0.12359550561797761</v>
      </c>
      <c r="O123" s="75">
        <f t="shared" si="77"/>
        <v>0.12941176470588234</v>
      </c>
      <c r="P123" s="75">
        <f t="shared" si="77"/>
        <v>0.13414634146341475</v>
      </c>
    </row>
    <row r="124" spans="2:16" x14ac:dyDescent="0.25">
      <c r="B124" s="74" t="s">
        <v>64</v>
      </c>
      <c r="C124" s="75">
        <f t="shared" ref="C124:P124" si="78">C74/C$15-1</f>
        <v>0.45141065830720994</v>
      </c>
      <c r="D124" s="75">
        <f t="shared" si="78"/>
        <v>0.42937853107344615</v>
      </c>
      <c r="E124" s="75">
        <f t="shared" si="78"/>
        <v>0.41860465116279078</v>
      </c>
      <c r="F124" s="80">
        <f t="shared" si="78"/>
        <v>0.40566037735849059</v>
      </c>
      <c r="G124" s="80">
        <f t="shared" si="78"/>
        <v>0.39130434782608692</v>
      </c>
      <c r="H124" s="80">
        <f t="shared" si="78"/>
        <v>0.39024390243902429</v>
      </c>
      <c r="I124" s="80">
        <f t="shared" si="78"/>
        <v>0.38666666666666671</v>
      </c>
      <c r="J124" s="80">
        <f t="shared" si="78"/>
        <v>0.31818181818181812</v>
      </c>
      <c r="K124" s="80">
        <f t="shared" si="78"/>
        <v>0.31707317073170738</v>
      </c>
      <c r="L124" s="80">
        <f t="shared" si="78"/>
        <v>0.29487179487179493</v>
      </c>
      <c r="M124" s="76">
        <f t="shared" si="78"/>
        <v>2.1276595744680771E-2</v>
      </c>
      <c r="N124" s="76">
        <f t="shared" si="78"/>
        <v>3.3707865168539408E-2</v>
      </c>
      <c r="O124" s="76">
        <f t="shared" si="78"/>
        <v>3.529411764705892E-2</v>
      </c>
      <c r="P124" s="76">
        <f t="shared" si="78"/>
        <v>3.6585365853658569E-2</v>
      </c>
    </row>
    <row r="125" spans="2:16" x14ac:dyDescent="0.25">
      <c r="B125" s="74" t="s">
        <v>65</v>
      </c>
      <c r="C125" s="75">
        <f t="shared" ref="C125:P125" si="79">C75/C$15-1</f>
        <v>0.42633228840125392</v>
      </c>
      <c r="D125" s="80">
        <f t="shared" si="79"/>
        <v>0.38418079096045199</v>
      </c>
      <c r="E125" s="80">
        <f t="shared" si="79"/>
        <v>0.35658914728682167</v>
      </c>
      <c r="F125" s="80">
        <f t="shared" si="79"/>
        <v>0.320754716981132</v>
      </c>
      <c r="G125" s="80">
        <f t="shared" si="79"/>
        <v>0.29347826086956519</v>
      </c>
      <c r="H125" s="80">
        <f t="shared" si="79"/>
        <v>0.28048780487804881</v>
      </c>
      <c r="I125" s="80">
        <f t="shared" si="79"/>
        <v>0.26666666666666661</v>
      </c>
      <c r="J125" s="76">
        <f t="shared" si="79"/>
        <v>0.22727272727272729</v>
      </c>
      <c r="K125" s="76">
        <f t="shared" si="79"/>
        <v>0.21951219512195119</v>
      </c>
      <c r="L125" s="76">
        <f t="shared" si="79"/>
        <v>0.19230769230769229</v>
      </c>
      <c r="M125" s="81">
        <f t="shared" si="79"/>
        <v>-6.3829787234042534E-2</v>
      </c>
      <c r="N125" s="81">
        <f t="shared" si="79"/>
        <v>-5.6179775280898903E-2</v>
      </c>
      <c r="O125" s="81">
        <f t="shared" si="79"/>
        <v>-5.8823529411764608E-2</v>
      </c>
      <c r="P125" s="81">
        <f t="shared" si="79"/>
        <v>-6.0975609756097504E-2</v>
      </c>
    </row>
    <row r="126" spans="2:16" x14ac:dyDescent="0.25">
      <c r="B126" s="74" t="s">
        <v>66</v>
      </c>
      <c r="C126" s="76">
        <f t="shared" ref="C126:P126" si="80">C76/C$15-1</f>
        <v>0.39811912225705326</v>
      </c>
      <c r="D126" s="76">
        <f t="shared" si="80"/>
        <v>0.33898305084745761</v>
      </c>
      <c r="E126" s="76">
        <f t="shared" si="80"/>
        <v>0.29457364341085257</v>
      </c>
      <c r="F126" s="76">
        <f t="shared" si="80"/>
        <v>0.24528301886792447</v>
      </c>
      <c r="G126" s="76">
        <f t="shared" si="80"/>
        <v>0.20652173913043481</v>
      </c>
      <c r="H126" s="76">
        <f t="shared" si="80"/>
        <v>0.18292682926829262</v>
      </c>
      <c r="I126" s="76">
        <f t="shared" si="80"/>
        <v>0.15999999999999992</v>
      </c>
      <c r="J126" s="76">
        <f t="shared" si="80"/>
        <v>0.125</v>
      </c>
      <c r="K126" s="76">
        <f t="shared" si="80"/>
        <v>0.10975609756097571</v>
      </c>
      <c r="L126" s="76">
        <f t="shared" si="80"/>
        <v>8.9743589743589647E-2</v>
      </c>
      <c r="M126" s="81">
        <f t="shared" si="80"/>
        <v>-0.14893617021276584</v>
      </c>
      <c r="N126" s="81">
        <f t="shared" si="80"/>
        <v>-0.15730337078651691</v>
      </c>
      <c r="O126" s="81">
        <f t="shared" si="80"/>
        <v>-0.16470588235294115</v>
      </c>
      <c r="P126" s="81">
        <f t="shared" si="80"/>
        <v>-0.1707317073170731</v>
      </c>
    </row>
    <row r="127" spans="2:16" x14ac:dyDescent="0.25">
      <c r="B127" s="74" t="s">
        <v>55</v>
      </c>
      <c r="C127" s="76">
        <f t="shared" ref="C127:P127" si="81">C77/C$15-1</f>
        <v>0.37304075235109724</v>
      </c>
      <c r="D127" s="76">
        <f t="shared" si="81"/>
        <v>0.28813559322033888</v>
      </c>
      <c r="E127" s="76">
        <f t="shared" si="81"/>
        <v>0.23255813953488369</v>
      </c>
      <c r="F127" s="76">
        <f t="shared" si="81"/>
        <v>0.16981132075471694</v>
      </c>
      <c r="G127" s="76">
        <f t="shared" si="81"/>
        <v>0.11956521739130443</v>
      </c>
      <c r="H127" s="76">
        <f t="shared" si="81"/>
        <v>8.5365853658536661E-2</v>
      </c>
      <c r="I127" s="76">
        <f t="shared" si="81"/>
        <v>5.3333333333333455E-2</v>
      </c>
      <c r="J127" s="76">
        <f t="shared" si="81"/>
        <v>3.4090909090909172E-2</v>
      </c>
      <c r="K127" s="76">
        <f t="shared" si="81"/>
        <v>1.2195121951219523E-2</v>
      </c>
      <c r="L127" s="81">
        <f t="shared" si="81"/>
        <v>-1.2820512820512886E-2</v>
      </c>
      <c r="M127" s="81">
        <f t="shared" si="81"/>
        <v>-0.24468085106382975</v>
      </c>
      <c r="N127" s="81">
        <f t="shared" si="81"/>
        <v>-0.24719101123595499</v>
      </c>
      <c r="O127" s="81">
        <f t="shared" si="81"/>
        <v>-0.25882352941176467</v>
      </c>
      <c r="P127" s="81">
        <f t="shared" si="81"/>
        <v>-0.26829268292682928</v>
      </c>
    </row>
    <row r="128" spans="2:16" x14ac:dyDescent="0.25">
      <c r="B128" s="74" t="s">
        <v>67</v>
      </c>
      <c r="C128" s="76">
        <f t="shared" ref="C128:P128" si="82">C78/C$15-1</f>
        <v>0.34796238244514099</v>
      </c>
      <c r="D128" s="76">
        <f t="shared" si="82"/>
        <v>0.24293785310734473</v>
      </c>
      <c r="E128" s="76">
        <f t="shared" si="82"/>
        <v>0.16279069767441867</v>
      </c>
      <c r="F128" s="76">
        <f t="shared" si="82"/>
        <v>8.4905660377358361E-2</v>
      </c>
      <c r="G128" s="76">
        <f t="shared" si="82"/>
        <v>2.1739130434782483E-2</v>
      </c>
      <c r="H128" s="81">
        <f t="shared" si="82"/>
        <v>-2.4390243902438935E-2</v>
      </c>
      <c r="I128" s="81">
        <f t="shared" si="82"/>
        <v>-6.6666666666666763E-2</v>
      </c>
      <c r="J128" s="81">
        <f t="shared" si="82"/>
        <v>-5.6818181818181879E-2</v>
      </c>
      <c r="K128" s="81">
        <f t="shared" si="82"/>
        <v>-8.536585365853655E-2</v>
      </c>
      <c r="L128" s="81">
        <f t="shared" si="82"/>
        <v>-0.12820512820512819</v>
      </c>
      <c r="M128" s="81">
        <f t="shared" si="82"/>
        <v>-0.32978723404255317</v>
      </c>
      <c r="N128" s="81">
        <f t="shared" si="82"/>
        <v>-0.3370786516853933</v>
      </c>
      <c r="O128" s="81">
        <f t="shared" si="82"/>
        <v>-0.3529411764705882</v>
      </c>
      <c r="P128" s="81">
        <f t="shared" si="82"/>
        <v>-0.36585365853658536</v>
      </c>
    </row>
    <row r="129" spans="2:16" x14ac:dyDescent="0.25">
      <c r="B129" s="77" t="s">
        <v>57</v>
      </c>
      <c r="C129" s="77">
        <f t="shared" ref="C129:P129" si="83">C79/C$15-1</f>
        <v>0.12852664576802519</v>
      </c>
      <c r="D129" s="77">
        <f t="shared" si="83"/>
        <v>6.7796610169491567E-2</v>
      </c>
      <c r="E129" s="77">
        <f t="shared" si="83"/>
        <v>2.3255813953488413E-2</v>
      </c>
      <c r="F129" s="77">
        <f t="shared" si="83"/>
        <v>-1.8867924528301883E-2</v>
      </c>
      <c r="G129" s="77">
        <f t="shared" si="83"/>
        <v>-5.4347826086956541E-2</v>
      </c>
      <c r="H129" s="77">
        <f t="shared" si="83"/>
        <v>-8.536585365853655E-2</v>
      </c>
      <c r="I129" s="77">
        <f t="shared" si="83"/>
        <v>-0.10666666666666658</v>
      </c>
      <c r="J129" s="77">
        <f t="shared" si="83"/>
        <v>-7.9545454545454475E-2</v>
      </c>
      <c r="K129" s="77">
        <f t="shared" si="83"/>
        <v>-9.7560975609756073E-2</v>
      </c>
      <c r="L129" s="77">
        <f t="shared" si="83"/>
        <v>-0.11538461538461553</v>
      </c>
      <c r="M129" s="77">
        <f t="shared" si="83"/>
        <v>-0.31914893617021267</v>
      </c>
      <c r="N129" s="77">
        <f t="shared" si="83"/>
        <v>-0.3258426966292135</v>
      </c>
      <c r="O129" s="77">
        <f t="shared" si="83"/>
        <v>-0.3294117647058824</v>
      </c>
      <c r="P129" s="77">
        <f t="shared" si="83"/>
        <v>-0.34146341463414631</v>
      </c>
    </row>
    <row r="130" spans="2:16" x14ac:dyDescent="0.25">
      <c r="B130" s="78" t="s">
        <v>72</v>
      </c>
      <c r="C130" s="73">
        <f t="shared" ref="C130:P130" si="84">C80/C$15-1</f>
        <v>0</v>
      </c>
      <c r="D130" s="73">
        <f t="shared" si="84"/>
        <v>0</v>
      </c>
      <c r="E130" s="73">
        <f t="shared" si="84"/>
        <v>0</v>
      </c>
      <c r="F130" s="73">
        <f t="shared" si="84"/>
        <v>0</v>
      </c>
      <c r="G130" s="73">
        <f t="shared" si="84"/>
        <v>0</v>
      </c>
      <c r="H130" s="73">
        <f t="shared" si="84"/>
        <v>0</v>
      </c>
      <c r="I130" s="73">
        <f t="shared" si="84"/>
        <v>0</v>
      </c>
      <c r="J130" s="73">
        <f t="shared" si="84"/>
        <v>0</v>
      </c>
      <c r="K130" s="73">
        <f t="shared" si="84"/>
        <v>0</v>
      </c>
      <c r="L130" s="73">
        <f t="shared" si="84"/>
        <v>0</v>
      </c>
      <c r="M130" s="73">
        <f t="shared" si="84"/>
        <v>0</v>
      </c>
      <c r="N130" s="73">
        <f t="shared" si="84"/>
        <v>0</v>
      </c>
      <c r="O130" s="73">
        <f t="shared" si="84"/>
        <v>0</v>
      </c>
      <c r="P130" s="73">
        <f t="shared" si="84"/>
        <v>0</v>
      </c>
    </row>
    <row r="133" spans="2:16" x14ac:dyDescent="0.25">
      <c r="E133" s="55"/>
    </row>
    <row r="134" spans="2:16" x14ac:dyDescent="0.25">
      <c r="B134" t="s">
        <v>94</v>
      </c>
      <c r="C134" s="54" t="s">
        <v>73</v>
      </c>
      <c r="D134" s="54" t="s">
        <v>74</v>
      </c>
      <c r="E134" s="54" t="s">
        <v>75</v>
      </c>
      <c r="F134" s="54" t="s">
        <v>76</v>
      </c>
      <c r="G134" s="54" t="s">
        <v>77</v>
      </c>
      <c r="H134" s="54" t="s">
        <v>78</v>
      </c>
      <c r="I134" s="54" t="s">
        <v>79</v>
      </c>
      <c r="J134" s="54" t="s">
        <v>80</v>
      </c>
      <c r="K134" s="54" t="s">
        <v>81</v>
      </c>
      <c r="L134" s="54" t="s">
        <v>82</v>
      </c>
      <c r="M134" s="54" t="s">
        <v>83</v>
      </c>
      <c r="N134" s="54" t="s">
        <v>84</v>
      </c>
      <c r="O134" s="54" t="s">
        <v>85</v>
      </c>
      <c r="P134" s="54" t="s">
        <v>86</v>
      </c>
    </row>
    <row r="135" spans="2:16" x14ac:dyDescent="0.25">
      <c r="B135" s="67" t="s">
        <v>56</v>
      </c>
      <c r="C135" s="61">
        <v>4.57</v>
      </c>
      <c r="D135" s="61">
        <v>2.71</v>
      </c>
      <c r="E135" s="61">
        <v>2.09</v>
      </c>
      <c r="F135" s="61">
        <v>1.78</v>
      </c>
      <c r="G135" s="61">
        <v>1.6</v>
      </c>
      <c r="H135" s="61">
        <v>1.47</v>
      </c>
      <c r="I135" s="61">
        <v>1.38</v>
      </c>
      <c r="J135" s="61">
        <v>1.52</v>
      </c>
      <c r="K135" s="61">
        <v>1.44</v>
      </c>
      <c r="L135" s="62">
        <v>1.38</v>
      </c>
      <c r="M135" s="61">
        <v>1.34</v>
      </c>
      <c r="N135" s="61">
        <v>1.3</v>
      </c>
      <c r="O135" s="61">
        <v>1.26</v>
      </c>
      <c r="P135" s="61">
        <v>1.23</v>
      </c>
    </row>
    <row r="136" spans="2:16" x14ac:dyDescent="0.25">
      <c r="B136" s="67" t="s">
        <v>60</v>
      </c>
      <c r="C136" s="61">
        <v>4.49</v>
      </c>
      <c r="D136" s="61">
        <v>2.63</v>
      </c>
      <c r="E136" s="61">
        <v>2.0099999999999998</v>
      </c>
      <c r="F136" s="61">
        <v>1.7</v>
      </c>
      <c r="G136" s="61">
        <v>1.51</v>
      </c>
      <c r="H136" s="61">
        <v>1.39</v>
      </c>
      <c r="I136" s="61">
        <v>1.3</v>
      </c>
      <c r="J136" s="61">
        <v>1.43</v>
      </c>
      <c r="K136" s="61">
        <v>1.36</v>
      </c>
      <c r="L136" s="61">
        <v>1.3</v>
      </c>
      <c r="M136" s="61">
        <v>1.25</v>
      </c>
      <c r="N136" s="61">
        <v>1.21</v>
      </c>
      <c r="O136" s="61">
        <v>1.18</v>
      </c>
      <c r="P136" s="61">
        <v>1.1499999999999999</v>
      </c>
    </row>
    <row r="137" spans="2:16" x14ac:dyDescent="0.25">
      <c r="B137" s="67" t="s">
        <v>61</v>
      </c>
      <c r="C137" s="61">
        <v>4.41</v>
      </c>
      <c r="D137" s="61">
        <v>2.5499999999999998</v>
      </c>
      <c r="E137" s="61">
        <v>1.93</v>
      </c>
      <c r="F137" s="61">
        <v>1.62</v>
      </c>
      <c r="G137" s="61">
        <v>1.43</v>
      </c>
      <c r="H137" s="61">
        <v>1.31</v>
      </c>
      <c r="I137" s="61">
        <v>1.22</v>
      </c>
      <c r="J137" s="61">
        <v>1.35</v>
      </c>
      <c r="K137" s="61">
        <v>1.28</v>
      </c>
      <c r="L137" s="61">
        <v>1.22</v>
      </c>
      <c r="M137" s="61">
        <v>1.17</v>
      </c>
      <c r="N137" s="61">
        <v>1.1299999999999999</v>
      </c>
      <c r="O137" s="61">
        <v>1.0900000000000001</v>
      </c>
      <c r="P137" s="61">
        <v>1.07</v>
      </c>
    </row>
    <row r="138" spans="2:16" x14ac:dyDescent="0.25">
      <c r="B138" s="67" t="s">
        <v>62</v>
      </c>
      <c r="C138" s="61">
        <v>4.32</v>
      </c>
      <c r="D138" s="61">
        <v>2.46</v>
      </c>
      <c r="E138" s="61">
        <v>1.84</v>
      </c>
      <c r="F138" s="61">
        <v>1.53</v>
      </c>
      <c r="G138" s="61">
        <v>1.35</v>
      </c>
      <c r="H138" s="61">
        <v>1.22</v>
      </c>
      <c r="I138" s="61">
        <v>1.1299999999999999</v>
      </c>
      <c r="J138" s="61">
        <v>1.27</v>
      </c>
      <c r="K138" s="61">
        <v>1.19</v>
      </c>
      <c r="L138" s="61">
        <v>1.1299999999999999</v>
      </c>
      <c r="M138" s="61">
        <v>1.0900000000000001</v>
      </c>
      <c r="N138" s="61">
        <v>1.05</v>
      </c>
      <c r="O138" s="61">
        <v>1.01</v>
      </c>
      <c r="P138" s="61">
        <v>0.98</v>
      </c>
    </row>
    <row r="139" spans="2:16" x14ac:dyDescent="0.25">
      <c r="B139" s="67" t="s">
        <v>63</v>
      </c>
      <c r="C139" s="61">
        <v>4.24</v>
      </c>
      <c r="D139" s="61">
        <v>2.38</v>
      </c>
      <c r="E139" s="61">
        <v>1.76</v>
      </c>
      <c r="F139" s="61">
        <v>1.45</v>
      </c>
      <c r="G139" s="61">
        <v>1.26</v>
      </c>
      <c r="H139" s="61">
        <v>1.1399999999999999</v>
      </c>
      <c r="I139" s="61">
        <v>1.05</v>
      </c>
      <c r="J139" s="61">
        <v>1.18</v>
      </c>
      <c r="K139" s="61">
        <v>1.1100000000000001</v>
      </c>
      <c r="L139" s="61">
        <v>1.05</v>
      </c>
      <c r="M139" s="61">
        <v>1</v>
      </c>
      <c r="N139" s="61">
        <v>0.96</v>
      </c>
      <c r="O139" s="61">
        <v>0.93</v>
      </c>
      <c r="P139" s="61">
        <v>0.9</v>
      </c>
    </row>
    <row r="140" spans="2:16" x14ac:dyDescent="0.25">
      <c r="B140" s="67" t="s">
        <v>64</v>
      </c>
      <c r="C140" s="61">
        <v>4.16</v>
      </c>
      <c r="D140" s="61">
        <v>2.2999999999999998</v>
      </c>
      <c r="E140" s="61">
        <v>1.68</v>
      </c>
      <c r="F140" s="61">
        <v>1.37</v>
      </c>
      <c r="G140" s="61">
        <v>1.18</v>
      </c>
      <c r="H140" s="61">
        <v>1.06</v>
      </c>
      <c r="I140" s="61">
        <v>0.97</v>
      </c>
      <c r="J140" s="61">
        <v>1.1000000000000001</v>
      </c>
      <c r="K140" s="61">
        <v>1.03</v>
      </c>
      <c r="L140" s="61">
        <v>0.97</v>
      </c>
      <c r="M140" s="61">
        <v>0.92</v>
      </c>
      <c r="N140" s="61">
        <v>0.88</v>
      </c>
      <c r="O140" s="83">
        <v>0.85</v>
      </c>
      <c r="P140" s="83">
        <v>0.82</v>
      </c>
    </row>
    <row r="141" spans="2:16" x14ac:dyDescent="0.25">
      <c r="B141" s="67" t="s">
        <v>65</v>
      </c>
      <c r="C141" s="61">
        <v>4.08</v>
      </c>
      <c r="D141" s="61">
        <v>2.21</v>
      </c>
      <c r="E141" s="61">
        <v>1.59</v>
      </c>
      <c r="F141" s="61">
        <v>1.28</v>
      </c>
      <c r="G141" s="61">
        <v>1.1000000000000001</v>
      </c>
      <c r="H141" s="61">
        <v>0.97</v>
      </c>
      <c r="I141" s="79">
        <v>0.89</v>
      </c>
      <c r="J141" s="79">
        <v>1.02</v>
      </c>
      <c r="K141" s="79">
        <v>0.94</v>
      </c>
      <c r="L141" s="79">
        <v>0.88</v>
      </c>
      <c r="M141" s="83">
        <v>0.84</v>
      </c>
      <c r="N141" s="83">
        <v>0.8</v>
      </c>
      <c r="O141" s="83">
        <v>0.76</v>
      </c>
      <c r="P141" s="83">
        <v>0.73</v>
      </c>
    </row>
    <row r="142" spans="2:16" x14ac:dyDescent="0.25">
      <c r="B142" s="67" t="s">
        <v>66</v>
      </c>
      <c r="C142" s="79">
        <v>3.99</v>
      </c>
      <c r="D142" s="79">
        <v>2.13</v>
      </c>
      <c r="E142" s="79">
        <v>1.51</v>
      </c>
      <c r="F142" s="79">
        <v>1.2</v>
      </c>
      <c r="G142" s="79">
        <v>1.01</v>
      </c>
      <c r="H142" s="79">
        <v>0.89</v>
      </c>
      <c r="I142" s="83">
        <v>0.8</v>
      </c>
      <c r="J142" s="79">
        <v>0.93</v>
      </c>
      <c r="K142" s="83">
        <v>0.86</v>
      </c>
      <c r="L142" s="83">
        <v>0.8</v>
      </c>
      <c r="M142" s="83">
        <v>0.75</v>
      </c>
      <c r="N142" s="83">
        <v>0.71</v>
      </c>
      <c r="O142" s="83">
        <v>0.68</v>
      </c>
      <c r="P142" s="83">
        <v>0.65</v>
      </c>
    </row>
    <row r="143" spans="2:16" x14ac:dyDescent="0.25">
      <c r="B143" s="67" t="s">
        <v>55</v>
      </c>
      <c r="C143" s="79">
        <v>3.91</v>
      </c>
      <c r="D143" s="79">
        <v>2.0499999999999998</v>
      </c>
      <c r="E143" s="79">
        <v>1.43</v>
      </c>
      <c r="F143" s="79">
        <v>1.1200000000000001</v>
      </c>
      <c r="G143" s="79">
        <v>0.93</v>
      </c>
      <c r="H143" s="83">
        <v>0.81</v>
      </c>
      <c r="I143" s="83">
        <v>0.72</v>
      </c>
      <c r="J143" s="83">
        <v>0.85</v>
      </c>
      <c r="K143" s="83">
        <v>0.78</v>
      </c>
      <c r="L143" s="83">
        <v>0.72</v>
      </c>
      <c r="M143" s="83">
        <v>0.67</v>
      </c>
      <c r="N143" s="83">
        <v>0.63</v>
      </c>
      <c r="O143" s="83">
        <v>0.6</v>
      </c>
      <c r="P143" s="83">
        <v>0.51</v>
      </c>
    </row>
    <row r="144" spans="2:16" x14ac:dyDescent="0.25">
      <c r="B144" s="67" t="s">
        <v>67</v>
      </c>
      <c r="C144" s="64">
        <v>3.83</v>
      </c>
      <c r="D144" s="64">
        <v>1.96</v>
      </c>
      <c r="E144" s="64">
        <v>1.34</v>
      </c>
      <c r="F144" s="64">
        <v>1.03</v>
      </c>
      <c r="G144" s="64">
        <v>0.85</v>
      </c>
      <c r="H144" s="83">
        <v>0.72</v>
      </c>
      <c r="I144" s="83">
        <v>0.64</v>
      </c>
      <c r="J144" s="83">
        <v>0.77</v>
      </c>
      <c r="K144" s="83">
        <v>0.69</v>
      </c>
      <c r="L144" s="83">
        <v>0.63</v>
      </c>
      <c r="M144" s="83">
        <v>0.59</v>
      </c>
      <c r="N144" s="83">
        <v>0.55000000000000004</v>
      </c>
      <c r="O144" s="83">
        <v>0.51</v>
      </c>
      <c r="P144" s="83">
        <v>0.48</v>
      </c>
    </row>
    <row r="145" spans="2:16" x14ac:dyDescent="0.25">
      <c r="B145" s="69" t="s">
        <v>57</v>
      </c>
      <c r="C145" s="65">
        <v>3.6</v>
      </c>
      <c r="D145" s="65">
        <v>1.89</v>
      </c>
      <c r="E145" s="65">
        <v>1.32</v>
      </c>
      <c r="F145" s="65">
        <v>1.04</v>
      </c>
      <c r="G145" s="83">
        <v>0.87</v>
      </c>
      <c r="H145" s="83">
        <v>0.75</v>
      </c>
      <c r="I145" s="83">
        <v>0.67</v>
      </c>
      <c r="J145" s="83">
        <v>0.81</v>
      </c>
      <c r="K145" s="83">
        <v>0.74</v>
      </c>
      <c r="L145" s="83">
        <v>0.69</v>
      </c>
      <c r="M145" s="83">
        <v>0.64</v>
      </c>
      <c r="N145" s="83">
        <v>0.6</v>
      </c>
      <c r="O145" s="83">
        <v>0.56999999999999995</v>
      </c>
      <c r="P145" s="83">
        <v>0.54</v>
      </c>
    </row>
    <row r="146" spans="2:16" x14ac:dyDescent="0.25">
      <c r="B146" s="68" t="s">
        <v>72</v>
      </c>
      <c r="C146" s="66">
        <v>3.19</v>
      </c>
      <c r="D146" s="66">
        <v>1.77</v>
      </c>
      <c r="E146" s="66">
        <v>1.29</v>
      </c>
      <c r="F146" s="66">
        <v>1.06</v>
      </c>
      <c r="G146" s="66">
        <v>0.92</v>
      </c>
      <c r="H146" s="66">
        <v>0.82</v>
      </c>
      <c r="I146" s="66">
        <v>0.75</v>
      </c>
      <c r="J146" s="66">
        <v>0.88</v>
      </c>
      <c r="K146" s="66">
        <v>0.82</v>
      </c>
      <c r="L146" s="66">
        <v>0.78</v>
      </c>
      <c r="M146" s="66">
        <v>0.94</v>
      </c>
      <c r="N146" s="66">
        <v>0.89</v>
      </c>
      <c r="O146" s="66">
        <v>0.85</v>
      </c>
      <c r="P146" s="66">
        <v>0.82</v>
      </c>
    </row>
    <row r="147" spans="2:16" x14ac:dyDescent="0.25">
      <c r="B147" s="68" t="s">
        <v>71</v>
      </c>
      <c r="C147" s="66">
        <v>3.15</v>
      </c>
      <c r="D147" s="66">
        <v>1.73</v>
      </c>
      <c r="E147" s="66">
        <v>1.26</v>
      </c>
      <c r="F147" s="66">
        <v>1.03</v>
      </c>
      <c r="G147" s="66">
        <v>0.88</v>
      </c>
      <c r="H147" s="66">
        <v>0.79</v>
      </c>
      <c r="I147" s="66">
        <v>0.72</v>
      </c>
      <c r="J147" s="66">
        <v>0.85</v>
      </c>
      <c r="K147" s="66">
        <v>0.79</v>
      </c>
      <c r="L147" s="66">
        <v>0.74</v>
      </c>
      <c r="M147" s="66">
        <v>0.7</v>
      </c>
      <c r="N147" s="66">
        <v>0.67</v>
      </c>
      <c r="O147" s="66">
        <v>0.65</v>
      </c>
      <c r="P147" s="66">
        <v>0.62</v>
      </c>
    </row>
    <row r="148" spans="2:16" x14ac:dyDescent="0.25">
      <c r="B148" s="68" t="s">
        <v>58</v>
      </c>
      <c r="C148" s="66">
        <v>3.12</v>
      </c>
      <c r="D148" s="66">
        <v>1.7</v>
      </c>
      <c r="E148" s="66">
        <v>1.23</v>
      </c>
      <c r="F148" s="66">
        <v>0.99</v>
      </c>
      <c r="G148" s="66">
        <v>0.85</v>
      </c>
      <c r="H148" s="66">
        <v>0.76</v>
      </c>
      <c r="I148" s="66">
        <v>0.69</v>
      </c>
      <c r="J148" s="66">
        <v>0.82</v>
      </c>
      <c r="K148" s="66">
        <v>0.76</v>
      </c>
      <c r="L148" s="66">
        <v>0.71</v>
      </c>
      <c r="M148" s="66">
        <v>0.67</v>
      </c>
      <c r="N148" s="66">
        <v>0.64</v>
      </c>
      <c r="O148" s="66">
        <v>0.61</v>
      </c>
      <c r="P148" s="66">
        <v>0.59</v>
      </c>
    </row>
    <row r="152" spans="2:16" x14ac:dyDescent="0.25">
      <c r="B152" t="s">
        <v>95</v>
      </c>
      <c r="C152" s="54" t="s">
        <v>73</v>
      </c>
      <c r="D152" s="54" t="s">
        <v>74</v>
      </c>
      <c r="E152" s="54" t="s">
        <v>75</v>
      </c>
      <c r="F152" s="54" t="s">
        <v>76</v>
      </c>
      <c r="G152" s="54" t="s">
        <v>77</v>
      </c>
      <c r="H152" s="54" t="s">
        <v>78</v>
      </c>
      <c r="I152" s="54" t="s">
        <v>79</v>
      </c>
      <c r="J152" s="54" t="s">
        <v>80</v>
      </c>
      <c r="K152" s="54" t="s">
        <v>81</v>
      </c>
      <c r="L152" s="54" t="s">
        <v>82</v>
      </c>
      <c r="M152" s="54" t="s">
        <v>83</v>
      </c>
      <c r="N152" s="54" t="s">
        <v>84</v>
      </c>
      <c r="O152" s="54" t="s">
        <v>85</v>
      </c>
      <c r="P152" s="54" t="s">
        <v>86</v>
      </c>
    </row>
    <row r="153" spans="2:16" x14ac:dyDescent="0.25">
      <c r="B153" s="67" t="s">
        <v>56</v>
      </c>
      <c r="C153" s="70">
        <f t="shared" ref="C153:P153" si="85">C135/C$82-1</f>
        <v>0.46474358974358987</v>
      </c>
      <c r="D153" s="70">
        <f t="shared" si="85"/>
        <v>0.59411764705882364</v>
      </c>
      <c r="E153" s="70">
        <f t="shared" si="85"/>
        <v>0.69918699186991851</v>
      </c>
      <c r="F153" s="70">
        <f t="shared" si="85"/>
        <v>0.79797979797979801</v>
      </c>
      <c r="G153" s="70">
        <f t="shared" si="85"/>
        <v>0.88235294117647078</v>
      </c>
      <c r="H153" s="70">
        <f t="shared" si="85"/>
        <v>0.93421052631578938</v>
      </c>
      <c r="I153" s="70">
        <f t="shared" si="85"/>
        <v>1</v>
      </c>
      <c r="J153" s="70">
        <f t="shared" si="85"/>
        <v>0.85365853658536595</v>
      </c>
      <c r="K153" s="70">
        <f t="shared" si="85"/>
        <v>0.89473684210526305</v>
      </c>
      <c r="L153" s="70">
        <f t="shared" si="85"/>
        <v>0.94366197183098577</v>
      </c>
      <c r="M153" s="70">
        <f t="shared" si="85"/>
        <v>1</v>
      </c>
      <c r="N153" s="70">
        <f t="shared" si="85"/>
        <v>1.03125</v>
      </c>
      <c r="O153" s="70">
        <f t="shared" si="85"/>
        <v>1.0655737704918034</v>
      </c>
      <c r="P153" s="70">
        <f t="shared" si="85"/>
        <v>1.0847457627118646</v>
      </c>
    </row>
    <row r="154" spans="2:16" x14ac:dyDescent="0.25">
      <c r="B154" s="67" t="s">
        <v>60</v>
      </c>
      <c r="C154" s="70">
        <f t="shared" ref="C154:P154" si="86">C136/C$82-1</f>
        <v>0.4391025641025641</v>
      </c>
      <c r="D154" s="70">
        <f t="shared" si="86"/>
        <v>0.54705882352941182</v>
      </c>
      <c r="E154" s="70">
        <f t="shared" si="86"/>
        <v>0.63414634146341453</v>
      </c>
      <c r="F154" s="70">
        <f t="shared" si="86"/>
        <v>0.71717171717171713</v>
      </c>
      <c r="G154" s="70">
        <f t="shared" si="86"/>
        <v>0.77647058823529425</v>
      </c>
      <c r="H154" s="70">
        <f t="shared" si="86"/>
        <v>0.82894736842105243</v>
      </c>
      <c r="I154" s="70">
        <f t="shared" si="86"/>
        <v>0.8840579710144929</v>
      </c>
      <c r="J154" s="70">
        <f t="shared" si="86"/>
        <v>0.74390243902439024</v>
      </c>
      <c r="K154" s="70">
        <f t="shared" si="86"/>
        <v>0.78947368421052633</v>
      </c>
      <c r="L154" s="70">
        <f t="shared" si="86"/>
        <v>0.83098591549295797</v>
      </c>
      <c r="M154" s="70">
        <f t="shared" si="86"/>
        <v>0.86567164179104461</v>
      </c>
      <c r="N154" s="70">
        <f t="shared" si="86"/>
        <v>0.890625</v>
      </c>
      <c r="O154" s="70">
        <f t="shared" si="86"/>
        <v>0.93442622950819665</v>
      </c>
      <c r="P154" s="70">
        <f t="shared" si="86"/>
        <v>0.94915254237288127</v>
      </c>
    </row>
    <row r="155" spans="2:16" x14ac:dyDescent="0.25">
      <c r="B155" s="67" t="s">
        <v>61</v>
      </c>
      <c r="C155" s="70">
        <f t="shared" ref="C155:P155" si="87">C137/C$82-1</f>
        <v>0.41346153846153855</v>
      </c>
      <c r="D155" s="70">
        <f t="shared" si="87"/>
        <v>0.5</v>
      </c>
      <c r="E155" s="70">
        <f t="shared" si="87"/>
        <v>0.56910569105691056</v>
      </c>
      <c r="F155" s="70">
        <f t="shared" si="87"/>
        <v>0.63636363636363646</v>
      </c>
      <c r="G155" s="70">
        <f t="shared" si="87"/>
        <v>0.68235294117647061</v>
      </c>
      <c r="H155" s="70">
        <f t="shared" si="87"/>
        <v>0.72368421052631593</v>
      </c>
      <c r="I155" s="70">
        <f t="shared" si="87"/>
        <v>0.76811594202898559</v>
      </c>
      <c r="J155" s="70">
        <f t="shared" si="87"/>
        <v>0.64634146341463428</v>
      </c>
      <c r="K155" s="70">
        <f t="shared" si="87"/>
        <v>0.68421052631578938</v>
      </c>
      <c r="L155" s="70">
        <f t="shared" si="87"/>
        <v>0.71830985915492973</v>
      </c>
      <c r="M155" s="70">
        <f t="shared" si="87"/>
        <v>0.74626865671641762</v>
      </c>
      <c r="N155" s="70">
        <f t="shared" si="87"/>
        <v>0.76562499999999978</v>
      </c>
      <c r="O155" s="70">
        <f t="shared" si="87"/>
        <v>0.78688524590163955</v>
      </c>
      <c r="P155" s="70">
        <f t="shared" si="87"/>
        <v>0.81355932203389858</v>
      </c>
    </row>
    <row r="156" spans="2:16" x14ac:dyDescent="0.25">
      <c r="B156" s="67" t="s">
        <v>62</v>
      </c>
      <c r="C156" s="70">
        <f t="shared" ref="C156:P156" si="88">C138/C$82-1</f>
        <v>0.38461538461538458</v>
      </c>
      <c r="D156" s="70">
        <f t="shared" si="88"/>
        <v>0.44705882352941173</v>
      </c>
      <c r="E156" s="70">
        <f t="shared" si="88"/>
        <v>0.49593495934959364</v>
      </c>
      <c r="F156" s="70">
        <f t="shared" si="88"/>
        <v>0.54545454545454541</v>
      </c>
      <c r="G156" s="70">
        <f t="shared" si="88"/>
        <v>0.58823529411764719</v>
      </c>
      <c r="H156" s="70">
        <f t="shared" si="88"/>
        <v>0.60526315789473673</v>
      </c>
      <c r="I156" s="70">
        <f t="shared" si="88"/>
        <v>0.6376811594202898</v>
      </c>
      <c r="J156" s="70">
        <f t="shared" si="88"/>
        <v>0.54878048780487809</v>
      </c>
      <c r="K156" s="70">
        <f t="shared" si="88"/>
        <v>0.5657894736842104</v>
      </c>
      <c r="L156" s="70">
        <f t="shared" si="88"/>
        <v>0.59154929577464777</v>
      </c>
      <c r="M156" s="70">
        <f t="shared" si="88"/>
        <v>0.62686567164179108</v>
      </c>
      <c r="N156" s="70">
        <f t="shared" si="88"/>
        <v>0.640625</v>
      </c>
      <c r="O156" s="70">
        <f t="shared" si="88"/>
        <v>0.65573770491803285</v>
      </c>
      <c r="P156" s="70">
        <f t="shared" si="88"/>
        <v>0.66101694915254239</v>
      </c>
    </row>
    <row r="157" spans="2:16" x14ac:dyDescent="0.25">
      <c r="B157" s="67" t="s">
        <v>63</v>
      </c>
      <c r="C157" s="70">
        <f t="shared" ref="C157:P157" si="89">C139/C$82-1</f>
        <v>0.35897435897435903</v>
      </c>
      <c r="D157" s="70">
        <f t="shared" si="89"/>
        <v>0.39999999999999991</v>
      </c>
      <c r="E157" s="70">
        <f t="shared" si="89"/>
        <v>0.43089430894308944</v>
      </c>
      <c r="F157" s="70">
        <f t="shared" si="89"/>
        <v>0.46464646464646453</v>
      </c>
      <c r="G157" s="70">
        <f t="shared" si="89"/>
        <v>0.48235294117647065</v>
      </c>
      <c r="H157" s="70">
        <f t="shared" si="89"/>
        <v>0.49999999999999978</v>
      </c>
      <c r="I157" s="70">
        <f t="shared" si="89"/>
        <v>0.52173913043478271</v>
      </c>
      <c r="J157" s="70">
        <f t="shared" si="89"/>
        <v>0.43902439024390238</v>
      </c>
      <c r="K157" s="70">
        <f t="shared" si="89"/>
        <v>0.46052631578947389</v>
      </c>
      <c r="L157" s="70">
        <f t="shared" si="89"/>
        <v>0.47887323943661975</v>
      </c>
      <c r="M157" s="70">
        <f t="shared" si="89"/>
        <v>0.49253731343283569</v>
      </c>
      <c r="N157" s="70">
        <f t="shared" si="89"/>
        <v>0.5</v>
      </c>
      <c r="O157" s="70">
        <f t="shared" si="89"/>
        <v>0.52459016393442637</v>
      </c>
      <c r="P157" s="70">
        <f t="shared" si="89"/>
        <v>0.52542372881355948</v>
      </c>
    </row>
    <row r="158" spans="2:16" x14ac:dyDescent="0.25">
      <c r="B158" s="67" t="s">
        <v>64</v>
      </c>
      <c r="C158" s="70">
        <f t="shared" ref="C158:P158" si="90">C140/C$82-1</f>
        <v>0.33333333333333326</v>
      </c>
      <c r="D158" s="70">
        <f t="shared" si="90"/>
        <v>0.35294117647058809</v>
      </c>
      <c r="E158" s="70">
        <f t="shared" si="90"/>
        <v>0.36585365853658525</v>
      </c>
      <c r="F158" s="70">
        <f t="shared" si="90"/>
        <v>0.38383838383838387</v>
      </c>
      <c r="G158" s="70">
        <f t="shared" si="90"/>
        <v>0.38823529411764701</v>
      </c>
      <c r="H158" s="70">
        <f t="shared" si="90"/>
        <v>0.39473684210526327</v>
      </c>
      <c r="I158" s="70">
        <f t="shared" si="90"/>
        <v>0.40579710144927539</v>
      </c>
      <c r="J158" s="70">
        <f t="shared" si="90"/>
        <v>0.34146341463414642</v>
      </c>
      <c r="K158" s="70">
        <f t="shared" si="90"/>
        <v>0.35526315789473695</v>
      </c>
      <c r="L158" s="70">
        <f t="shared" si="90"/>
        <v>0.36619718309859151</v>
      </c>
      <c r="M158" s="70">
        <f t="shared" si="90"/>
        <v>0.37313432835820892</v>
      </c>
      <c r="N158" s="70">
        <f t="shared" si="90"/>
        <v>0.375</v>
      </c>
      <c r="O158" s="70">
        <f t="shared" si="90"/>
        <v>0.39344262295081966</v>
      </c>
      <c r="P158" s="70">
        <f t="shared" si="90"/>
        <v>0.38983050847457634</v>
      </c>
    </row>
    <row r="159" spans="2:16" x14ac:dyDescent="0.25">
      <c r="B159" s="67" t="s">
        <v>65</v>
      </c>
      <c r="C159" s="70">
        <f t="shared" ref="C159:P159" si="91">C141/C$82-1</f>
        <v>0.30769230769230771</v>
      </c>
      <c r="D159" s="70">
        <f t="shared" si="91"/>
        <v>0.30000000000000004</v>
      </c>
      <c r="E159" s="70">
        <f t="shared" si="91"/>
        <v>0.29268292682926833</v>
      </c>
      <c r="F159" s="70">
        <f t="shared" si="91"/>
        <v>0.29292929292929304</v>
      </c>
      <c r="G159" s="70">
        <f t="shared" si="91"/>
        <v>0.29411764705882359</v>
      </c>
      <c r="H159" s="70">
        <f t="shared" si="91"/>
        <v>0.27631578947368407</v>
      </c>
      <c r="I159" s="70">
        <f t="shared" si="91"/>
        <v>0.28985507246376829</v>
      </c>
      <c r="J159" s="80">
        <f t="shared" si="91"/>
        <v>0.24390243902439024</v>
      </c>
      <c r="K159" s="80">
        <f t="shared" si="91"/>
        <v>0.23684210526315774</v>
      </c>
      <c r="L159" s="80">
        <f t="shared" si="91"/>
        <v>0.23943661971830998</v>
      </c>
      <c r="M159" s="80">
        <f t="shared" si="91"/>
        <v>0.25373134328358193</v>
      </c>
      <c r="N159" s="80">
        <f t="shared" si="91"/>
        <v>0.25</v>
      </c>
      <c r="O159" s="80">
        <f t="shared" si="91"/>
        <v>0.24590163934426235</v>
      </c>
      <c r="P159" s="80">
        <f t="shared" si="91"/>
        <v>0.23728813559322037</v>
      </c>
    </row>
    <row r="160" spans="2:16" x14ac:dyDescent="0.25">
      <c r="B160" s="67" t="s">
        <v>66</v>
      </c>
      <c r="C160" s="80">
        <f t="shared" ref="C160:P160" si="92">C142/C$82-1</f>
        <v>0.27884615384615397</v>
      </c>
      <c r="D160" s="80">
        <f t="shared" si="92"/>
        <v>0.25294117647058822</v>
      </c>
      <c r="E160" s="80">
        <f t="shared" si="92"/>
        <v>0.22764227642276436</v>
      </c>
      <c r="F160" s="80">
        <f t="shared" si="92"/>
        <v>0.21212121212121215</v>
      </c>
      <c r="G160" s="80">
        <f t="shared" si="92"/>
        <v>0.18823529411764706</v>
      </c>
      <c r="H160" s="80">
        <f t="shared" si="92"/>
        <v>0.17105263157894735</v>
      </c>
      <c r="I160" s="80">
        <f t="shared" si="92"/>
        <v>0.15942028985507273</v>
      </c>
      <c r="J160" s="76">
        <f t="shared" si="92"/>
        <v>0.13414634146341475</v>
      </c>
      <c r="K160" s="76">
        <f t="shared" si="92"/>
        <v>0.13157894736842102</v>
      </c>
      <c r="L160" s="76">
        <f t="shared" si="92"/>
        <v>0.12676056338028174</v>
      </c>
      <c r="M160" s="76">
        <f t="shared" si="92"/>
        <v>0.11940298507462677</v>
      </c>
      <c r="N160" s="76">
        <f t="shared" si="92"/>
        <v>0.109375</v>
      </c>
      <c r="O160" s="76">
        <f t="shared" si="92"/>
        <v>0.11475409836065587</v>
      </c>
      <c r="P160" s="76">
        <f t="shared" si="92"/>
        <v>0.10169491525423746</v>
      </c>
    </row>
    <row r="161" spans="2:16" x14ac:dyDescent="0.25">
      <c r="B161" s="67" t="s">
        <v>55</v>
      </c>
      <c r="C161" s="80">
        <f t="shared" ref="C161:P161" si="93">C143/C$82-1</f>
        <v>0.25320512820512819</v>
      </c>
      <c r="D161" s="80">
        <f t="shared" si="93"/>
        <v>0.20588235294117641</v>
      </c>
      <c r="E161" s="80">
        <f t="shared" si="93"/>
        <v>0.16260162601626016</v>
      </c>
      <c r="F161" s="76">
        <f t="shared" si="93"/>
        <v>0.13131313131313149</v>
      </c>
      <c r="G161" s="76">
        <f t="shared" si="93"/>
        <v>9.4117647058823639E-2</v>
      </c>
      <c r="H161" s="76">
        <f t="shared" si="93"/>
        <v>6.578947368421062E-2</v>
      </c>
      <c r="I161" s="76">
        <f t="shared" si="93"/>
        <v>4.3478260869565188E-2</v>
      </c>
      <c r="J161" s="76">
        <f t="shared" si="93"/>
        <v>3.6585365853658569E-2</v>
      </c>
      <c r="K161" s="76">
        <f t="shared" si="93"/>
        <v>2.6315789473684292E-2</v>
      </c>
      <c r="L161" s="76">
        <f t="shared" si="93"/>
        <v>1.4084507042253502E-2</v>
      </c>
      <c r="M161" s="81">
        <f t="shared" si="93"/>
        <v>0</v>
      </c>
      <c r="N161" s="81">
        <f t="shared" si="93"/>
        <v>-1.5625E-2</v>
      </c>
      <c r="O161" s="81">
        <f t="shared" si="93"/>
        <v>-1.6393442622950838E-2</v>
      </c>
      <c r="P161" s="81">
        <f t="shared" si="93"/>
        <v>-0.13559322033898302</v>
      </c>
    </row>
    <row r="162" spans="2:16" x14ac:dyDescent="0.25">
      <c r="B162" s="67" t="s">
        <v>67</v>
      </c>
      <c r="C162" s="80">
        <f t="shared" ref="C162:P162" si="94">C144/C$82-1</f>
        <v>0.22756410256410264</v>
      </c>
      <c r="D162" s="80">
        <f t="shared" si="94"/>
        <v>0.15294117647058814</v>
      </c>
      <c r="E162" s="76">
        <f t="shared" si="94"/>
        <v>8.9430894308943243E-2</v>
      </c>
      <c r="F162" s="76">
        <f t="shared" si="94"/>
        <v>4.0404040404040442E-2</v>
      </c>
      <c r="G162" s="81">
        <f t="shared" si="94"/>
        <v>0</v>
      </c>
      <c r="H162" s="81">
        <f t="shared" si="94"/>
        <v>-5.2631578947368474E-2</v>
      </c>
      <c r="I162" s="81">
        <f t="shared" si="94"/>
        <v>-7.2463768115941907E-2</v>
      </c>
      <c r="J162" s="81">
        <f t="shared" si="94"/>
        <v>-6.0975609756097504E-2</v>
      </c>
      <c r="K162" s="81">
        <f t="shared" si="94"/>
        <v>-9.2105263157894801E-2</v>
      </c>
      <c r="L162" s="81">
        <f t="shared" si="94"/>
        <v>-0.11267605633802813</v>
      </c>
      <c r="M162" s="81">
        <f t="shared" si="94"/>
        <v>-0.11940298507462699</v>
      </c>
      <c r="N162" s="81">
        <f t="shared" si="94"/>
        <v>-0.140625</v>
      </c>
      <c r="O162" s="81">
        <f t="shared" si="94"/>
        <v>-0.16393442622950816</v>
      </c>
      <c r="P162" s="81">
        <f t="shared" si="94"/>
        <v>-0.18644067796610164</v>
      </c>
    </row>
    <row r="163" spans="2:16" x14ac:dyDescent="0.25">
      <c r="B163" s="69" t="s">
        <v>57</v>
      </c>
      <c r="C163" s="72">
        <f t="shared" ref="C163:P163" si="95">C145/C$82-1</f>
        <v>0.15384615384615374</v>
      </c>
      <c r="D163" s="72">
        <f t="shared" si="95"/>
        <v>0.11176470588235299</v>
      </c>
      <c r="E163" s="72">
        <f t="shared" si="95"/>
        <v>7.3170731707317138E-2</v>
      </c>
      <c r="F163" s="72">
        <f t="shared" si="95"/>
        <v>5.0505050505050608E-2</v>
      </c>
      <c r="G163" s="72">
        <f t="shared" si="95"/>
        <v>2.3529411764705799E-2</v>
      </c>
      <c r="H163" s="72">
        <f t="shared" si="95"/>
        <v>-1.3157894736842146E-2</v>
      </c>
      <c r="I163" s="72">
        <f t="shared" si="95"/>
        <v>-2.8985507246376718E-2</v>
      </c>
      <c r="J163" s="72">
        <f t="shared" si="95"/>
        <v>-1.2195121951219412E-2</v>
      </c>
      <c r="K163" s="72">
        <f t="shared" si="95"/>
        <v>-2.6315789473684181E-2</v>
      </c>
      <c r="L163" s="72">
        <f t="shared" si="95"/>
        <v>-2.8169014084507116E-2</v>
      </c>
      <c r="M163" s="72">
        <f t="shared" si="95"/>
        <v>-4.4776119402985093E-2</v>
      </c>
      <c r="N163" s="72">
        <f t="shared" si="95"/>
        <v>-6.25E-2</v>
      </c>
      <c r="O163" s="72">
        <f t="shared" si="95"/>
        <v>-6.5573770491803351E-2</v>
      </c>
      <c r="P163" s="72">
        <f t="shared" si="95"/>
        <v>-8.4745762711864292E-2</v>
      </c>
    </row>
    <row r="164" spans="2:16" x14ac:dyDescent="0.25">
      <c r="B164" s="68" t="s">
        <v>58</v>
      </c>
      <c r="C164" s="73">
        <v>0</v>
      </c>
      <c r="D164" s="73">
        <v>0</v>
      </c>
      <c r="E164" s="73">
        <v>0</v>
      </c>
      <c r="F164" s="73">
        <v>0</v>
      </c>
      <c r="G164" s="73">
        <v>0</v>
      </c>
      <c r="H164" s="73">
        <v>0</v>
      </c>
      <c r="I164" s="73">
        <v>0</v>
      </c>
      <c r="J164" s="73">
        <v>0</v>
      </c>
      <c r="K164" s="73">
        <v>0</v>
      </c>
      <c r="L164" s="73">
        <v>0</v>
      </c>
      <c r="M164" s="73">
        <v>0</v>
      </c>
      <c r="N164" s="73">
        <v>0</v>
      </c>
      <c r="O164" s="73">
        <v>0</v>
      </c>
      <c r="P164" s="73">
        <v>0</v>
      </c>
    </row>
    <row r="168" spans="2:16" x14ac:dyDescent="0.25">
      <c r="B168" t="s">
        <v>96</v>
      </c>
      <c r="C168" s="54" t="s">
        <v>73</v>
      </c>
      <c r="D168" s="54" t="s">
        <v>74</v>
      </c>
      <c r="E168" s="54" t="s">
        <v>75</v>
      </c>
      <c r="F168" s="54" t="s">
        <v>76</v>
      </c>
      <c r="G168" s="54" t="s">
        <v>77</v>
      </c>
      <c r="H168" s="54" t="s">
        <v>78</v>
      </c>
      <c r="I168" s="54" t="s">
        <v>79</v>
      </c>
      <c r="J168" s="54" t="s">
        <v>80</v>
      </c>
      <c r="K168" s="54" t="s">
        <v>81</v>
      </c>
      <c r="L168" s="54" t="s">
        <v>82</v>
      </c>
      <c r="M168" s="54" t="s">
        <v>83</v>
      </c>
      <c r="N168" s="54" t="s">
        <v>84</v>
      </c>
      <c r="O168" s="54" t="s">
        <v>85</v>
      </c>
      <c r="P168" s="54" t="s">
        <v>86</v>
      </c>
    </row>
    <row r="169" spans="2:16" x14ac:dyDescent="0.25">
      <c r="B169" s="74" t="s">
        <v>56</v>
      </c>
      <c r="C169" s="75">
        <f t="shared" ref="C169:P169" si="96">C135/C$16-1</f>
        <v>0.45079365079365097</v>
      </c>
      <c r="D169" s="75">
        <f t="shared" si="96"/>
        <v>0.56647398843930641</v>
      </c>
      <c r="E169" s="75">
        <f t="shared" si="96"/>
        <v>0.65873015873015861</v>
      </c>
      <c r="F169" s="75">
        <f t="shared" si="96"/>
        <v>0.72815533980582514</v>
      </c>
      <c r="G169" s="75">
        <f t="shared" si="96"/>
        <v>0.81818181818181834</v>
      </c>
      <c r="H169" s="75">
        <f t="shared" si="96"/>
        <v>0.860759493670886</v>
      </c>
      <c r="I169" s="75">
        <f t="shared" si="96"/>
        <v>0.91666666666666652</v>
      </c>
      <c r="J169" s="75">
        <f t="shared" si="96"/>
        <v>0.78823529411764715</v>
      </c>
      <c r="K169" s="75">
        <f t="shared" si="96"/>
        <v>0.82278481012658222</v>
      </c>
      <c r="L169" s="75">
        <f t="shared" si="96"/>
        <v>0.86486486486486469</v>
      </c>
      <c r="M169" s="75">
        <f t="shared" si="96"/>
        <v>0.91428571428571459</v>
      </c>
      <c r="N169" s="75">
        <f t="shared" si="96"/>
        <v>0.94029850746268662</v>
      </c>
      <c r="O169" s="75">
        <f t="shared" si="96"/>
        <v>0.93846153846153846</v>
      </c>
      <c r="P169" s="75">
        <f t="shared" si="96"/>
        <v>0.9838709677419355</v>
      </c>
    </row>
    <row r="170" spans="2:16" x14ac:dyDescent="0.25">
      <c r="B170" s="74" t="s">
        <v>60</v>
      </c>
      <c r="C170" s="75">
        <f t="shared" ref="C170:P170" si="97">C136/C$16-1</f>
        <v>0.42539682539682544</v>
      </c>
      <c r="D170" s="75">
        <f t="shared" si="97"/>
        <v>0.52023121387283222</v>
      </c>
      <c r="E170" s="75">
        <f t="shared" si="97"/>
        <v>0.59523809523809512</v>
      </c>
      <c r="F170" s="75">
        <f t="shared" si="97"/>
        <v>0.65048543689320382</v>
      </c>
      <c r="G170" s="75">
        <f t="shared" si="97"/>
        <v>0.71590909090909083</v>
      </c>
      <c r="H170" s="75">
        <f t="shared" si="97"/>
        <v>0.75949367088607578</v>
      </c>
      <c r="I170" s="75">
        <f t="shared" si="97"/>
        <v>0.80555555555555558</v>
      </c>
      <c r="J170" s="75">
        <f t="shared" si="97"/>
        <v>0.68235294117647061</v>
      </c>
      <c r="K170" s="75">
        <f t="shared" si="97"/>
        <v>0.72151898734177222</v>
      </c>
      <c r="L170" s="75">
        <f t="shared" si="97"/>
        <v>0.7567567567567568</v>
      </c>
      <c r="M170" s="75">
        <f t="shared" si="97"/>
        <v>0.78571428571428581</v>
      </c>
      <c r="N170" s="75">
        <f t="shared" si="97"/>
        <v>0.80597014925373123</v>
      </c>
      <c r="O170" s="75">
        <f t="shared" si="97"/>
        <v>0.81538461538461515</v>
      </c>
      <c r="P170" s="75">
        <f t="shared" si="97"/>
        <v>0.85483870967741926</v>
      </c>
    </row>
    <row r="171" spans="2:16" x14ac:dyDescent="0.25">
      <c r="B171" s="74" t="s">
        <v>61</v>
      </c>
      <c r="C171" s="75">
        <f t="shared" ref="C171:P171" si="98">C137/C$16-1</f>
        <v>0.40000000000000013</v>
      </c>
      <c r="D171" s="75">
        <f t="shared" si="98"/>
        <v>0.47398843930635826</v>
      </c>
      <c r="E171" s="75">
        <f t="shared" si="98"/>
        <v>0.53174603174603163</v>
      </c>
      <c r="F171" s="75">
        <f t="shared" si="98"/>
        <v>0.57281553398058249</v>
      </c>
      <c r="G171" s="75">
        <f t="shared" si="98"/>
        <v>0.625</v>
      </c>
      <c r="H171" s="75">
        <f t="shared" si="98"/>
        <v>0.65822784810126578</v>
      </c>
      <c r="I171" s="75">
        <f t="shared" si="98"/>
        <v>0.69444444444444442</v>
      </c>
      <c r="J171" s="75">
        <f t="shared" si="98"/>
        <v>0.58823529411764719</v>
      </c>
      <c r="K171" s="75">
        <f t="shared" si="98"/>
        <v>0.620253164556962</v>
      </c>
      <c r="L171" s="75">
        <f t="shared" si="98"/>
        <v>0.64864864864864868</v>
      </c>
      <c r="M171" s="75">
        <f t="shared" si="98"/>
        <v>0.67142857142857149</v>
      </c>
      <c r="N171" s="75">
        <f t="shared" si="98"/>
        <v>0.68656716417910424</v>
      </c>
      <c r="O171" s="75">
        <f t="shared" si="98"/>
        <v>0.67692307692307696</v>
      </c>
      <c r="P171" s="75">
        <f t="shared" si="98"/>
        <v>0.72580645161290325</v>
      </c>
    </row>
    <row r="172" spans="2:16" x14ac:dyDescent="0.25">
      <c r="B172" s="74" t="s">
        <v>62</v>
      </c>
      <c r="C172" s="75">
        <f t="shared" ref="C172:P172" si="99">C138/C$16-1</f>
        <v>0.37142857142857166</v>
      </c>
      <c r="D172" s="75">
        <f t="shared" si="99"/>
        <v>0.42196531791907521</v>
      </c>
      <c r="E172" s="75">
        <f t="shared" si="99"/>
        <v>0.46031746031746046</v>
      </c>
      <c r="F172" s="75">
        <f t="shared" si="99"/>
        <v>0.4854368932038835</v>
      </c>
      <c r="G172" s="75">
        <f t="shared" si="99"/>
        <v>0.53409090909090917</v>
      </c>
      <c r="H172" s="75">
        <f t="shared" si="99"/>
        <v>0.54430379746835422</v>
      </c>
      <c r="I172" s="75">
        <f t="shared" si="99"/>
        <v>0.56944444444444442</v>
      </c>
      <c r="J172" s="75">
        <f t="shared" si="99"/>
        <v>0.49411764705882355</v>
      </c>
      <c r="K172" s="75">
        <f t="shared" si="99"/>
        <v>0.50632911392405044</v>
      </c>
      <c r="L172" s="75">
        <f t="shared" si="99"/>
        <v>0.52702702702702697</v>
      </c>
      <c r="M172" s="75">
        <f t="shared" si="99"/>
        <v>0.55714285714285738</v>
      </c>
      <c r="N172" s="75">
        <f t="shared" si="99"/>
        <v>0.56716417910447769</v>
      </c>
      <c r="O172" s="75">
        <f t="shared" si="99"/>
        <v>0.55384615384615388</v>
      </c>
      <c r="P172" s="75">
        <f t="shared" si="99"/>
        <v>0.58064516129032251</v>
      </c>
    </row>
    <row r="173" spans="2:16" x14ac:dyDescent="0.25">
      <c r="B173" s="74" t="s">
        <v>63</v>
      </c>
      <c r="C173" s="75">
        <f t="shared" ref="C173:P173" si="100">C139/C$16-1</f>
        <v>0.34603174603174613</v>
      </c>
      <c r="D173" s="75">
        <f t="shared" si="100"/>
        <v>0.37572254335260102</v>
      </c>
      <c r="E173" s="75">
        <f t="shared" si="100"/>
        <v>0.39682539682539675</v>
      </c>
      <c r="F173" s="75">
        <f t="shared" si="100"/>
        <v>0.40776699029126195</v>
      </c>
      <c r="G173" s="75">
        <f t="shared" si="100"/>
        <v>0.43181818181818188</v>
      </c>
      <c r="H173" s="75">
        <f t="shared" si="100"/>
        <v>0.44303797468354422</v>
      </c>
      <c r="I173" s="75">
        <f t="shared" si="100"/>
        <v>0.45833333333333348</v>
      </c>
      <c r="J173" s="75">
        <f t="shared" si="100"/>
        <v>0.38823529411764701</v>
      </c>
      <c r="K173" s="75">
        <f t="shared" si="100"/>
        <v>0.40506329113924067</v>
      </c>
      <c r="L173" s="75">
        <f t="shared" si="100"/>
        <v>0.41891891891891908</v>
      </c>
      <c r="M173" s="75">
        <f t="shared" si="100"/>
        <v>0.4285714285714286</v>
      </c>
      <c r="N173" s="75">
        <f t="shared" si="100"/>
        <v>0.43283582089552231</v>
      </c>
      <c r="O173" s="75">
        <f t="shared" si="100"/>
        <v>0.43076923076923079</v>
      </c>
      <c r="P173" s="75">
        <f t="shared" si="100"/>
        <v>0.45161290322580649</v>
      </c>
    </row>
    <row r="174" spans="2:16" x14ac:dyDescent="0.25">
      <c r="B174" s="74" t="s">
        <v>64</v>
      </c>
      <c r="C174" s="75">
        <f t="shared" ref="C174:P174" si="101">C140/C$16-1</f>
        <v>0.32063492063492083</v>
      </c>
      <c r="D174" s="75">
        <f t="shared" si="101"/>
        <v>0.32947976878612706</v>
      </c>
      <c r="E174" s="75">
        <f t="shared" si="101"/>
        <v>0.33333333333333326</v>
      </c>
      <c r="F174" s="75">
        <f t="shared" si="101"/>
        <v>0.33009708737864085</v>
      </c>
      <c r="G174" s="75">
        <f t="shared" si="101"/>
        <v>0.34090909090909083</v>
      </c>
      <c r="H174" s="75">
        <f t="shared" si="101"/>
        <v>0.34177215189873422</v>
      </c>
      <c r="I174" s="75">
        <f t="shared" si="101"/>
        <v>0.34722222222222232</v>
      </c>
      <c r="J174" s="75">
        <f t="shared" si="101"/>
        <v>0.29411764705882359</v>
      </c>
      <c r="K174" s="75">
        <f t="shared" si="101"/>
        <v>0.30379746835443044</v>
      </c>
      <c r="L174" s="75">
        <f t="shared" si="101"/>
        <v>0.31081081081081074</v>
      </c>
      <c r="M174" s="75">
        <f t="shared" si="101"/>
        <v>0.3142857142857145</v>
      </c>
      <c r="N174" s="75">
        <f t="shared" si="101"/>
        <v>0.31343283582089554</v>
      </c>
      <c r="O174" s="75">
        <f t="shared" si="101"/>
        <v>0.30769230769230771</v>
      </c>
      <c r="P174" s="75">
        <f t="shared" si="101"/>
        <v>0.32258064516129026</v>
      </c>
    </row>
    <row r="175" spans="2:16" x14ac:dyDescent="0.25">
      <c r="B175" s="74" t="s">
        <v>65</v>
      </c>
      <c r="C175" s="75">
        <f t="shared" ref="C175:P175" si="102">C141/C$16-1</f>
        <v>0.2952380952380953</v>
      </c>
      <c r="D175" s="75">
        <f t="shared" si="102"/>
        <v>0.27745664739884401</v>
      </c>
      <c r="E175" s="75">
        <f t="shared" si="102"/>
        <v>0.26190476190476186</v>
      </c>
      <c r="F175" s="75">
        <f t="shared" si="102"/>
        <v>0.24271844660194164</v>
      </c>
      <c r="G175" s="75">
        <f t="shared" si="102"/>
        <v>0.25</v>
      </c>
      <c r="H175" s="75">
        <f t="shared" si="102"/>
        <v>0.22784810126582267</v>
      </c>
      <c r="I175" s="75">
        <f t="shared" si="102"/>
        <v>0.23611111111111116</v>
      </c>
      <c r="J175" s="75">
        <f t="shared" si="102"/>
        <v>0.19999999999999996</v>
      </c>
      <c r="K175" s="75">
        <f t="shared" si="102"/>
        <v>0.18987341772151889</v>
      </c>
      <c r="L175" s="75">
        <f t="shared" si="102"/>
        <v>0.18918918918918926</v>
      </c>
      <c r="M175" s="75">
        <f t="shared" si="102"/>
        <v>0.19999999999999996</v>
      </c>
      <c r="N175" s="75">
        <f t="shared" si="102"/>
        <v>0.19402985074626855</v>
      </c>
      <c r="O175" s="75">
        <f t="shared" si="102"/>
        <v>0.1692307692307693</v>
      </c>
      <c r="P175" s="75">
        <f t="shared" si="102"/>
        <v>0.17741935483870974</v>
      </c>
    </row>
    <row r="176" spans="2:16" x14ac:dyDescent="0.25">
      <c r="B176" s="74" t="s">
        <v>66</v>
      </c>
      <c r="C176" s="75">
        <f t="shared" ref="C176:P176" si="103">C142/C$16-1</f>
        <v>0.26666666666666683</v>
      </c>
      <c r="D176" s="80">
        <f t="shared" si="103"/>
        <v>0.23121387283236983</v>
      </c>
      <c r="E176" s="80">
        <f t="shared" si="103"/>
        <v>0.19841269841269837</v>
      </c>
      <c r="F176" s="80">
        <f t="shared" si="103"/>
        <v>0.16504854368932032</v>
      </c>
      <c r="G176" s="80">
        <f t="shared" si="103"/>
        <v>0.14772727272727271</v>
      </c>
      <c r="H176" s="76">
        <f t="shared" si="103"/>
        <v>0.12658227848101267</v>
      </c>
      <c r="I176" s="76">
        <f t="shared" si="103"/>
        <v>0.11111111111111116</v>
      </c>
      <c r="J176" s="76">
        <f t="shared" si="103"/>
        <v>9.4117647058823639E-2</v>
      </c>
      <c r="K176" s="76">
        <f t="shared" si="103"/>
        <v>8.8607594936708889E-2</v>
      </c>
      <c r="L176" s="76">
        <f t="shared" si="103"/>
        <v>8.1081081081081141E-2</v>
      </c>
      <c r="M176" s="76">
        <f t="shared" si="103"/>
        <v>7.1428571428571397E-2</v>
      </c>
      <c r="N176" s="76">
        <f t="shared" si="103"/>
        <v>5.9701492537313383E-2</v>
      </c>
      <c r="O176" s="76">
        <f t="shared" si="103"/>
        <v>4.6153846153846212E-2</v>
      </c>
      <c r="P176" s="76">
        <f t="shared" si="103"/>
        <v>4.8387096774193505E-2</v>
      </c>
    </row>
    <row r="177" spans="2:16" x14ac:dyDescent="0.25">
      <c r="B177" s="74" t="s">
        <v>55</v>
      </c>
      <c r="C177" s="80">
        <f t="shared" ref="C177:P177" si="104">C143/C$16-1</f>
        <v>0.2412698412698413</v>
      </c>
      <c r="D177" s="80">
        <f t="shared" si="104"/>
        <v>0.18497109826589586</v>
      </c>
      <c r="E177" s="80">
        <f t="shared" si="104"/>
        <v>0.13492063492063489</v>
      </c>
      <c r="F177" s="76">
        <f t="shared" si="104"/>
        <v>8.7378640776699212E-2</v>
      </c>
      <c r="G177" s="76">
        <f t="shared" si="104"/>
        <v>5.6818181818181879E-2</v>
      </c>
      <c r="H177" s="76">
        <f t="shared" si="104"/>
        <v>2.5316455696202445E-2</v>
      </c>
      <c r="I177" s="81">
        <f t="shared" si="104"/>
        <v>0</v>
      </c>
      <c r="J177" s="81">
        <f t="shared" si="104"/>
        <v>0</v>
      </c>
      <c r="K177" s="81">
        <f t="shared" si="104"/>
        <v>-1.2658227848101222E-2</v>
      </c>
      <c r="L177" s="81">
        <f t="shared" si="104"/>
        <v>-2.7027027027027084E-2</v>
      </c>
      <c r="M177" s="81">
        <f t="shared" si="104"/>
        <v>-4.2857142857142705E-2</v>
      </c>
      <c r="N177" s="81">
        <f t="shared" si="104"/>
        <v>-5.9701492537313494E-2</v>
      </c>
      <c r="O177" s="81">
        <f t="shared" si="104"/>
        <v>-7.6923076923076983E-2</v>
      </c>
      <c r="P177" s="81">
        <f t="shared" si="104"/>
        <v>-0.17741935483870963</v>
      </c>
    </row>
    <row r="178" spans="2:16" x14ac:dyDescent="0.25">
      <c r="B178" s="74" t="s">
        <v>67</v>
      </c>
      <c r="C178" s="76">
        <f t="shared" ref="C178:P178" si="105">C144/C$16-1</f>
        <v>0.21587301587301599</v>
      </c>
      <c r="D178" s="76">
        <f t="shared" si="105"/>
        <v>0.13294797687861282</v>
      </c>
      <c r="E178" s="76">
        <f t="shared" si="105"/>
        <v>6.3492063492063489E-2</v>
      </c>
      <c r="F178" s="81">
        <f t="shared" si="105"/>
        <v>0</v>
      </c>
      <c r="G178" s="81">
        <f t="shared" si="105"/>
        <v>-3.4090909090909172E-2</v>
      </c>
      <c r="H178" s="81">
        <f t="shared" si="105"/>
        <v>-8.8607594936708889E-2</v>
      </c>
      <c r="I178" s="81">
        <f t="shared" si="105"/>
        <v>-0.11111111111111105</v>
      </c>
      <c r="J178" s="81">
        <f t="shared" si="105"/>
        <v>-9.4117647058823528E-2</v>
      </c>
      <c r="K178" s="81">
        <f t="shared" si="105"/>
        <v>-0.12658227848101278</v>
      </c>
      <c r="L178" s="81">
        <f t="shared" si="105"/>
        <v>-0.14864864864864868</v>
      </c>
      <c r="M178" s="81">
        <f t="shared" si="105"/>
        <v>-0.15714285714285714</v>
      </c>
      <c r="N178" s="81">
        <f t="shared" si="105"/>
        <v>-0.17910447761194026</v>
      </c>
      <c r="O178" s="81">
        <f t="shared" si="105"/>
        <v>-0.2153846153846154</v>
      </c>
      <c r="P178" s="81">
        <f t="shared" si="105"/>
        <v>-0.22580645161290325</v>
      </c>
    </row>
    <row r="179" spans="2:16" x14ac:dyDescent="0.25">
      <c r="B179" s="77" t="s">
        <v>57</v>
      </c>
      <c r="C179" s="77">
        <f t="shared" ref="C179:P179" si="106">C145/C$16-1</f>
        <v>0.14285714285714302</v>
      </c>
      <c r="D179" s="77">
        <f t="shared" si="106"/>
        <v>9.2485549132947931E-2</v>
      </c>
      <c r="E179" s="77">
        <f t="shared" si="106"/>
        <v>4.7619047619047672E-2</v>
      </c>
      <c r="F179" s="77">
        <f t="shared" si="106"/>
        <v>9.7087378640776656E-3</v>
      </c>
      <c r="G179" s="77">
        <f t="shared" si="106"/>
        <v>-1.1363636363636354E-2</v>
      </c>
      <c r="H179" s="77">
        <f t="shared" si="106"/>
        <v>-5.0632911392405111E-2</v>
      </c>
      <c r="I179" s="77">
        <f t="shared" si="106"/>
        <v>-6.9444444444444309E-2</v>
      </c>
      <c r="J179" s="77">
        <f t="shared" si="106"/>
        <v>-4.7058823529411709E-2</v>
      </c>
      <c r="K179" s="77">
        <f t="shared" si="106"/>
        <v>-6.3291139240506333E-2</v>
      </c>
      <c r="L179" s="77">
        <f t="shared" si="106"/>
        <v>-6.7567567567567655E-2</v>
      </c>
      <c r="M179" s="77">
        <f t="shared" si="106"/>
        <v>-8.5714285714285632E-2</v>
      </c>
      <c r="N179" s="77">
        <f t="shared" si="106"/>
        <v>-0.10447761194029859</v>
      </c>
      <c r="O179" s="77">
        <f t="shared" si="106"/>
        <v>-0.12307692307692319</v>
      </c>
      <c r="P179" s="77">
        <f t="shared" si="106"/>
        <v>-0.12903225806451601</v>
      </c>
    </row>
    <row r="180" spans="2:16" x14ac:dyDescent="0.25">
      <c r="B180" s="78" t="s">
        <v>71</v>
      </c>
      <c r="C180" s="73">
        <f t="shared" ref="C180:P180" si="107">C148/C$17-1</f>
        <v>0</v>
      </c>
      <c r="D180" s="73">
        <f t="shared" si="107"/>
        <v>0</v>
      </c>
      <c r="E180" s="73">
        <f t="shared" si="107"/>
        <v>0</v>
      </c>
      <c r="F180" s="73">
        <f t="shared" si="107"/>
        <v>0</v>
      </c>
      <c r="G180" s="73">
        <f t="shared" si="107"/>
        <v>0</v>
      </c>
      <c r="H180" s="73">
        <f t="shared" si="107"/>
        <v>0</v>
      </c>
      <c r="I180" s="73">
        <f t="shared" si="107"/>
        <v>0</v>
      </c>
      <c r="J180" s="73">
        <f t="shared" si="107"/>
        <v>0</v>
      </c>
      <c r="K180" s="73">
        <f t="shared" si="107"/>
        <v>0</v>
      </c>
      <c r="L180" s="73">
        <f t="shared" si="107"/>
        <v>0</v>
      </c>
      <c r="M180" s="73">
        <f t="shared" si="107"/>
        <v>0</v>
      </c>
      <c r="N180" s="73">
        <f t="shared" si="107"/>
        <v>0</v>
      </c>
      <c r="O180" s="73">
        <f t="shared" si="107"/>
        <v>0</v>
      </c>
      <c r="P180" s="73">
        <f t="shared" si="107"/>
        <v>0</v>
      </c>
    </row>
    <row r="184" spans="2:16" x14ac:dyDescent="0.25">
      <c r="B184" t="s">
        <v>97</v>
      </c>
      <c r="C184" s="54" t="s">
        <v>73</v>
      </c>
      <c r="D184" s="54" t="s">
        <v>74</v>
      </c>
      <c r="E184" s="54" t="s">
        <v>75</v>
      </c>
      <c r="F184" s="54" t="s">
        <v>76</v>
      </c>
      <c r="G184" s="54" t="s">
        <v>77</v>
      </c>
      <c r="H184" s="54" t="s">
        <v>78</v>
      </c>
      <c r="I184" s="54" t="s">
        <v>79</v>
      </c>
      <c r="J184" s="54" t="s">
        <v>80</v>
      </c>
      <c r="K184" s="54" t="s">
        <v>81</v>
      </c>
      <c r="L184" s="54" t="s">
        <v>82</v>
      </c>
      <c r="M184" s="54" t="s">
        <v>83</v>
      </c>
      <c r="N184" s="54" t="s">
        <v>84</v>
      </c>
      <c r="O184" s="54" t="s">
        <v>85</v>
      </c>
      <c r="P184" s="54" t="s">
        <v>86</v>
      </c>
    </row>
    <row r="185" spans="2:16" x14ac:dyDescent="0.25">
      <c r="B185" s="74" t="s">
        <v>56</v>
      </c>
      <c r="C185" s="75">
        <f t="shared" ref="C185:P185" si="108">C135/C$15-1</f>
        <v>0.43260188087774298</v>
      </c>
      <c r="D185" s="75">
        <f t="shared" si="108"/>
        <v>0.53107344632768361</v>
      </c>
      <c r="E185" s="75">
        <f t="shared" si="108"/>
        <v>0.62015503875968969</v>
      </c>
      <c r="F185" s="75">
        <f t="shared" si="108"/>
        <v>0.67924528301886777</v>
      </c>
      <c r="G185" s="75">
        <f t="shared" si="108"/>
        <v>0.73913043478260865</v>
      </c>
      <c r="H185" s="75">
        <f t="shared" si="108"/>
        <v>0.79268292682926833</v>
      </c>
      <c r="I185" s="75">
        <f t="shared" si="108"/>
        <v>0.83999999999999986</v>
      </c>
      <c r="J185" s="75">
        <f t="shared" si="108"/>
        <v>0.72727272727272729</v>
      </c>
      <c r="K185" s="75">
        <f t="shared" si="108"/>
        <v>0.75609756097560976</v>
      </c>
      <c r="L185" s="75">
        <f t="shared" si="108"/>
        <v>0.76923076923076894</v>
      </c>
      <c r="M185" s="75">
        <f t="shared" si="108"/>
        <v>0.42553191489361719</v>
      </c>
      <c r="N185" s="75">
        <f t="shared" si="108"/>
        <v>0.4606741573033708</v>
      </c>
      <c r="O185" s="75">
        <f t="shared" si="108"/>
        <v>0.48235294117647065</v>
      </c>
      <c r="P185" s="75">
        <f t="shared" si="108"/>
        <v>0.5</v>
      </c>
    </row>
    <row r="186" spans="2:16" x14ac:dyDescent="0.25">
      <c r="B186" s="74" t="s">
        <v>60</v>
      </c>
      <c r="C186" s="75">
        <f t="shared" ref="C186:P186" si="109">C136/C$15-1</f>
        <v>0.40752351097178696</v>
      </c>
      <c r="D186" s="75">
        <f t="shared" si="109"/>
        <v>0.48587570621468923</v>
      </c>
      <c r="E186" s="75">
        <f t="shared" si="109"/>
        <v>0.55813953488372081</v>
      </c>
      <c r="F186" s="75">
        <f t="shared" si="109"/>
        <v>0.60377358490566024</v>
      </c>
      <c r="G186" s="75">
        <f t="shared" si="109"/>
        <v>0.64130434782608692</v>
      </c>
      <c r="H186" s="75">
        <f t="shared" si="109"/>
        <v>0.69512195121951215</v>
      </c>
      <c r="I186" s="75">
        <f t="shared" si="109"/>
        <v>0.73333333333333339</v>
      </c>
      <c r="J186" s="75">
        <f t="shared" si="109"/>
        <v>0.625</v>
      </c>
      <c r="K186" s="75">
        <f t="shared" si="109"/>
        <v>0.6585365853658538</v>
      </c>
      <c r="L186" s="75">
        <f t="shared" si="109"/>
        <v>0.66666666666666674</v>
      </c>
      <c r="M186" s="75">
        <f t="shared" si="109"/>
        <v>0.32978723404255317</v>
      </c>
      <c r="N186" s="75">
        <f t="shared" si="109"/>
        <v>0.3595505617977528</v>
      </c>
      <c r="O186" s="75">
        <f t="shared" si="109"/>
        <v>0.38823529411764701</v>
      </c>
      <c r="P186" s="75">
        <f t="shared" si="109"/>
        <v>0.40243902439024382</v>
      </c>
    </row>
    <row r="187" spans="2:16" x14ac:dyDescent="0.25">
      <c r="B187" s="74" t="s">
        <v>61</v>
      </c>
      <c r="C187" s="75">
        <f t="shared" ref="C187:P187" si="110">C137/C$15-1</f>
        <v>0.38244514106583072</v>
      </c>
      <c r="D187" s="75">
        <f t="shared" si="110"/>
        <v>0.44067796610169485</v>
      </c>
      <c r="E187" s="75">
        <f t="shared" si="110"/>
        <v>0.49612403100775193</v>
      </c>
      <c r="F187" s="75">
        <f t="shared" si="110"/>
        <v>0.52830188679245293</v>
      </c>
      <c r="G187" s="75">
        <f t="shared" si="110"/>
        <v>0.55434782608695632</v>
      </c>
      <c r="H187" s="75">
        <f t="shared" si="110"/>
        <v>0.59756097560975618</v>
      </c>
      <c r="I187" s="75">
        <f t="shared" si="110"/>
        <v>0.62666666666666671</v>
      </c>
      <c r="J187" s="75">
        <f t="shared" si="110"/>
        <v>0.53409090909090917</v>
      </c>
      <c r="K187" s="75">
        <f t="shared" si="110"/>
        <v>0.56097560975609762</v>
      </c>
      <c r="L187" s="75">
        <f t="shared" si="110"/>
        <v>0.5641025641025641</v>
      </c>
      <c r="M187" s="75">
        <f t="shared" si="110"/>
        <v>0.24468085106382986</v>
      </c>
      <c r="N187" s="75">
        <f t="shared" si="110"/>
        <v>0.26966292134831438</v>
      </c>
      <c r="O187" s="75">
        <f t="shared" si="110"/>
        <v>0.2823529411764707</v>
      </c>
      <c r="P187" s="75">
        <f t="shared" si="110"/>
        <v>0.30487804878048785</v>
      </c>
    </row>
    <row r="188" spans="2:16" x14ac:dyDescent="0.25">
      <c r="B188" s="74" t="s">
        <v>62</v>
      </c>
      <c r="C188" s="75">
        <f t="shared" ref="C188:P188" si="111">C138/C$15-1</f>
        <v>0.35423197492163028</v>
      </c>
      <c r="D188" s="75">
        <f t="shared" si="111"/>
        <v>0.38983050847457634</v>
      </c>
      <c r="E188" s="75">
        <f t="shared" si="111"/>
        <v>0.42635658914728691</v>
      </c>
      <c r="F188" s="75">
        <f t="shared" si="111"/>
        <v>0.44339622641509435</v>
      </c>
      <c r="G188" s="75">
        <f t="shared" si="111"/>
        <v>0.46739130434782616</v>
      </c>
      <c r="H188" s="75">
        <f t="shared" si="111"/>
        <v>0.48780487804878048</v>
      </c>
      <c r="I188" s="75">
        <f t="shared" si="111"/>
        <v>0.5066666666666666</v>
      </c>
      <c r="J188" s="75">
        <f t="shared" si="111"/>
        <v>0.44318181818181812</v>
      </c>
      <c r="K188" s="75">
        <f t="shared" si="111"/>
        <v>0.45121951219512191</v>
      </c>
      <c r="L188" s="75">
        <f t="shared" si="111"/>
        <v>0.44871794871794846</v>
      </c>
      <c r="M188" s="75">
        <f t="shared" si="111"/>
        <v>0.15957446808510656</v>
      </c>
      <c r="N188" s="75">
        <f t="shared" si="111"/>
        <v>0.1797752808988764</v>
      </c>
      <c r="O188" s="75">
        <f t="shared" si="111"/>
        <v>0.18823529411764706</v>
      </c>
      <c r="P188" s="75">
        <f t="shared" si="111"/>
        <v>0.19512195121951215</v>
      </c>
    </row>
    <row r="189" spans="2:16" x14ac:dyDescent="0.25">
      <c r="B189" s="74" t="s">
        <v>63</v>
      </c>
      <c r="C189" s="75">
        <f t="shared" ref="C189:P189" si="112">C139/C$15-1</f>
        <v>0.32915360501567403</v>
      </c>
      <c r="D189" s="75">
        <f t="shared" si="112"/>
        <v>0.34463276836158174</v>
      </c>
      <c r="E189" s="75">
        <f t="shared" si="112"/>
        <v>0.36434108527131781</v>
      </c>
      <c r="F189" s="75">
        <f t="shared" si="112"/>
        <v>0.3679245283018866</v>
      </c>
      <c r="G189" s="75">
        <f t="shared" si="112"/>
        <v>0.36956521739130421</v>
      </c>
      <c r="H189" s="75">
        <f t="shared" si="112"/>
        <v>0.39024390243902429</v>
      </c>
      <c r="I189" s="75">
        <f t="shared" si="112"/>
        <v>0.40000000000000013</v>
      </c>
      <c r="J189" s="75">
        <f t="shared" si="112"/>
        <v>0.34090909090909083</v>
      </c>
      <c r="K189" s="75">
        <f t="shared" si="112"/>
        <v>0.35365853658536595</v>
      </c>
      <c r="L189" s="75">
        <f t="shared" si="112"/>
        <v>0.34615384615384626</v>
      </c>
      <c r="M189" s="75">
        <f t="shared" si="112"/>
        <v>6.3829787234042534E-2</v>
      </c>
      <c r="N189" s="75">
        <f t="shared" si="112"/>
        <v>7.8651685393258397E-2</v>
      </c>
      <c r="O189" s="75">
        <f t="shared" si="112"/>
        <v>9.4117647058823639E-2</v>
      </c>
      <c r="P189" s="75">
        <f t="shared" si="112"/>
        <v>9.7560975609756184E-2</v>
      </c>
    </row>
    <row r="190" spans="2:16" x14ac:dyDescent="0.25">
      <c r="B190" s="74" t="s">
        <v>64</v>
      </c>
      <c r="C190" s="75">
        <f t="shared" ref="C190:P190" si="113">C140/C$15-1</f>
        <v>0.30407523510971801</v>
      </c>
      <c r="D190" s="75">
        <f t="shared" si="113"/>
        <v>0.29943502824858736</v>
      </c>
      <c r="E190" s="75">
        <f t="shared" si="113"/>
        <v>0.30232558139534871</v>
      </c>
      <c r="F190" s="80">
        <f t="shared" si="113"/>
        <v>0.29245283018867929</v>
      </c>
      <c r="G190" s="80">
        <f t="shared" si="113"/>
        <v>0.28260869565217384</v>
      </c>
      <c r="H190" s="80">
        <f t="shared" si="113"/>
        <v>0.29268292682926833</v>
      </c>
      <c r="I190" s="80">
        <f t="shared" si="113"/>
        <v>0.29333333333333322</v>
      </c>
      <c r="J190" s="80">
        <f t="shared" si="113"/>
        <v>0.25</v>
      </c>
      <c r="K190" s="80">
        <f t="shared" si="113"/>
        <v>0.25609756097560976</v>
      </c>
      <c r="L190" s="80">
        <f t="shared" si="113"/>
        <v>0.24358974358974361</v>
      </c>
      <c r="M190" s="81">
        <f t="shared" si="113"/>
        <v>-2.1276595744680771E-2</v>
      </c>
      <c r="N190" s="81">
        <f t="shared" si="113"/>
        <v>-1.1235955056179803E-2</v>
      </c>
      <c r="O190" s="81">
        <f t="shared" si="113"/>
        <v>0</v>
      </c>
      <c r="P190" s="81">
        <f t="shared" si="113"/>
        <v>0</v>
      </c>
    </row>
    <row r="191" spans="2:16" x14ac:dyDescent="0.25">
      <c r="B191" s="74" t="s">
        <v>65</v>
      </c>
      <c r="C191" s="75">
        <f t="shared" ref="C191:P191" si="114">C141/C$15-1</f>
        <v>0.27899686520376177</v>
      </c>
      <c r="D191" s="80">
        <f t="shared" si="114"/>
        <v>0.24858757062146886</v>
      </c>
      <c r="E191" s="80">
        <f t="shared" si="114"/>
        <v>0.23255813953488369</v>
      </c>
      <c r="F191" s="80">
        <f t="shared" si="114"/>
        <v>0.20754716981132071</v>
      </c>
      <c r="G191" s="80">
        <f t="shared" si="114"/>
        <v>0.19565217391304346</v>
      </c>
      <c r="H191" s="80">
        <f t="shared" si="114"/>
        <v>0.18292682926829262</v>
      </c>
      <c r="I191" s="80">
        <f t="shared" si="114"/>
        <v>0.18666666666666676</v>
      </c>
      <c r="J191" s="76">
        <f t="shared" si="114"/>
        <v>0.15909090909090917</v>
      </c>
      <c r="K191" s="76">
        <f t="shared" si="114"/>
        <v>0.14634146341463405</v>
      </c>
      <c r="L191" s="76">
        <f t="shared" si="114"/>
        <v>0.12820512820512819</v>
      </c>
      <c r="M191" s="81">
        <f t="shared" si="114"/>
        <v>-0.10638297872340419</v>
      </c>
      <c r="N191" s="81">
        <f t="shared" si="114"/>
        <v>-0.10112359550561789</v>
      </c>
      <c r="O191" s="81">
        <f t="shared" si="114"/>
        <v>-0.10588235294117643</v>
      </c>
      <c r="P191" s="81">
        <f t="shared" si="114"/>
        <v>-0.1097560975609756</v>
      </c>
    </row>
    <row r="192" spans="2:16" x14ac:dyDescent="0.25">
      <c r="B192" s="74" t="s">
        <v>66</v>
      </c>
      <c r="C192" s="76">
        <f t="shared" ref="C192:P192" si="115">C142/C$15-1</f>
        <v>0.25078369905956133</v>
      </c>
      <c r="D192" s="76">
        <f t="shared" si="115"/>
        <v>0.20338983050847448</v>
      </c>
      <c r="E192" s="76">
        <f t="shared" si="115"/>
        <v>0.17054263565891481</v>
      </c>
      <c r="F192" s="76">
        <f t="shared" si="115"/>
        <v>0.13207547169811318</v>
      </c>
      <c r="G192" s="76">
        <f t="shared" si="115"/>
        <v>9.7826086956521729E-2</v>
      </c>
      <c r="H192" s="76">
        <f t="shared" si="115"/>
        <v>8.5365853658536661E-2</v>
      </c>
      <c r="I192" s="76">
        <f t="shared" si="115"/>
        <v>6.6666666666666652E-2</v>
      </c>
      <c r="J192" s="76">
        <f t="shared" si="115"/>
        <v>5.6818181818181879E-2</v>
      </c>
      <c r="K192" s="76">
        <f t="shared" si="115"/>
        <v>4.8780487804878092E-2</v>
      </c>
      <c r="L192" s="76">
        <f t="shared" si="115"/>
        <v>2.5641025641025772E-2</v>
      </c>
      <c r="M192" s="81">
        <f t="shared" si="115"/>
        <v>-0.20212765957446799</v>
      </c>
      <c r="N192" s="81">
        <f t="shared" si="115"/>
        <v>-0.202247191011236</v>
      </c>
      <c r="O192" s="81">
        <f t="shared" si="115"/>
        <v>-0.19999999999999996</v>
      </c>
      <c r="P192" s="81">
        <f t="shared" si="115"/>
        <v>-0.20731707317073167</v>
      </c>
    </row>
    <row r="193" spans="2:16" x14ac:dyDescent="0.25">
      <c r="B193" s="74" t="s">
        <v>55</v>
      </c>
      <c r="C193" s="76">
        <f t="shared" ref="C193:P193" si="116">C143/C$15-1</f>
        <v>0.22570532915360508</v>
      </c>
      <c r="D193" s="76">
        <f t="shared" si="116"/>
        <v>0.1581920903954801</v>
      </c>
      <c r="E193" s="76">
        <f t="shared" si="116"/>
        <v>0.10852713178294571</v>
      </c>
      <c r="F193" s="76">
        <f t="shared" si="116"/>
        <v>5.6603773584905648E-2</v>
      </c>
      <c r="G193" s="76">
        <f t="shared" si="116"/>
        <v>1.0869565217391353E-2</v>
      </c>
      <c r="H193" s="81">
        <f t="shared" si="116"/>
        <v>-1.2195121951219412E-2</v>
      </c>
      <c r="I193" s="81">
        <f t="shared" si="116"/>
        <v>-4.0000000000000036E-2</v>
      </c>
      <c r="J193" s="81">
        <f t="shared" si="116"/>
        <v>-3.4090909090909172E-2</v>
      </c>
      <c r="K193" s="81">
        <f t="shared" si="116"/>
        <v>-4.8780487804877981E-2</v>
      </c>
      <c r="L193" s="81">
        <f t="shared" si="116"/>
        <v>-7.6923076923076983E-2</v>
      </c>
      <c r="M193" s="81">
        <f t="shared" si="116"/>
        <v>-0.2872340425531914</v>
      </c>
      <c r="N193" s="81">
        <f t="shared" si="116"/>
        <v>-0.2921348314606742</v>
      </c>
      <c r="O193" s="81">
        <f t="shared" si="116"/>
        <v>-0.29411764705882348</v>
      </c>
      <c r="P193" s="81">
        <f t="shared" si="116"/>
        <v>-0.37804878048780488</v>
      </c>
    </row>
    <row r="194" spans="2:16" x14ac:dyDescent="0.25">
      <c r="B194" s="74" t="s">
        <v>67</v>
      </c>
      <c r="C194" s="76">
        <f t="shared" ref="C194:P194" si="117">C144/C$15-1</f>
        <v>0.20062695924764884</v>
      </c>
      <c r="D194" s="76">
        <f t="shared" si="117"/>
        <v>0.10734463276836159</v>
      </c>
      <c r="E194" s="76">
        <f t="shared" si="117"/>
        <v>3.8759689922480689E-2</v>
      </c>
      <c r="F194" s="81">
        <f t="shared" si="117"/>
        <v>-2.8301886792452824E-2</v>
      </c>
      <c r="G194" s="81">
        <f t="shared" si="117"/>
        <v>-7.6086956521739246E-2</v>
      </c>
      <c r="H194" s="81">
        <f t="shared" si="117"/>
        <v>-0.12195121951219512</v>
      </c>
      <c r="I194" s="81">
        <f t="shared" si="117"/>
        <v>-0.14666666666666661</v>
      </c>
      <c r="J194" s="81">
        <f t="shared" si="117"/>
        <v>-0.125</v>
      </c>
      <c r="K194" s="81">
        <f t="shared" si="117"/>
        <v>-0.15853658536585369</v>
      </c>
      <c r="L194" s="81">
        <f t="shared" si="117"/>
        <v>-0.19230769230769229</v>
      </c>
      <c r="M194" s="81">
        <f t="shared" si="117"/>
        <v>-0.37234042553191493</v>
      </c>
      <c r="N194" s="81">
        <f t="shared" si="117"/>
        <v>-0.38202247191011229</v>
      </c>
      <c r="O194" s="81">
        <f t="shared" si="117"/>
        <v>-0.4</v>
      </c>
      <c r="P194" s="81">
        <f t="shared" si="117"/>
        <v>-0.41463414634146345</v>
      </c>
    </row>
    <row r="195" spans="2:16" x14ac:dyDescent="0.25">
      <c r="B195" s="77" t="s">
        <v>57</v>
      </c>
      <c r="C195" s="77">
        <f t="shared" ref="C195:P195" si="118">C145/C$15-1</f>
        <v>0.12852664576802519</v>
      </c>
      <c r="D195" s="77">
        <f t="shared" si="118"/>
        <v>6.7796610169491567E-2</v>
      </c>
      <c r="E195" s="77">
        <f t="shared" si="118"/>
        <v>2.3255813953488413E-2</v>
      </c>
      <c r="F195" s="77">
        <f t="shared" si="118"/>
        <v>-1.8867924528301883E-2</v>
      </c>
      <c r="G195" s="77">
        <f t="shared" si="118"/>
        <v>-5.4347826086956541E-2</v>
      </c>
      <c r="H195" s="77">
        <f t="shared" si="118"/>
        <v>-8.536585365853655E-2</v>
      </c>
      <c r="I195" s="77">
        <f t="shared" si="118"/>
        <v>-0.10666666666666658</v>
      </c>
      <c r="J195" s="77">
        <f t="shared" si="118"/>
        <v>-7.9545454545454475E-2</v>
      </c>
      <c r="K195" s="77">
        <f t="shared" si="118"/>
        <v>-9.7560975609756073E-2</v>
      </c>
      <c r="L195" s="77">
        <f t="shared" si="118"/>
        <v>-0.11538461538461553</v>
      </c>
      <c r="M195" s="77">
        <f t="shared" si="118"/>
        <v>-0.31914893617021267</v>
      </c>
      <c r="N195" s="77">
        <f t="shared" si="118"/>
        <v>-0.3258426966292135</v>
      </c>
      <c r="O195" s="77">
        <f t="shared" si="118"/>
        <v>-0.3294117647058824</v>
      </c>
      <c r="P195" s="77">
        <f t="shared" si="118"/>
        <v>-0.34146341463414631</v>
      </c>
    </row>
    <row r="196" spans="2:16" x14ac:dyDescent="0.25">
      <c r="B196" s="78" t="s">
        <v>72</v>
      </c>
      <c r="C196" s="73">
        <f t="shared" ref="C196:P196" si="119">C146/C$15-1</f>
        <v>0</v>
      </c>
      <c r="D196" s="73">
        <f t="shared" si="119"/>
        <v>0</v>
      </c>
      <c r="E196" s="73">
        <f t="shared" si="119"/>
        <v>0</v>
      </c>
      <c r="F196" s="73">
        <f t="shared" si="119"/>
        <v>0</v>
      </c>
      <c r="G196" s="73">
        <f t="shared" si="119"/>
        <v>0</v>
      </c>
      <c r="H196" s="73">
        <f t="shared" si="119"/>
        <v>0</v>
      </c>
      <c r="I196" s="73">
        <f t="shared" si="119"/>
        <v>0</v>
      </c>
      <c r="J196" s="73">
        <f t="shared" si="119"/>
        <v>0</v>
      </c>
      <c r="K196" s="73">
        <f t="shared" si="119"/>
        <v>0</v>
      </c>
      <c r="L196" s="73">
        <f t="shared" si="119"/>
        <v>0</v>
      </c>
      <c r="M196" s="73">
        <f t="shared" si="119"/>
        <v>0</v>
      </c>
      <c r="N196" s="73">
        <f t="shared" si="119"/>
        <v>0</v>
      </c>
      <c r="O196" s="73">
        <f t="shared" si="119"/>
        <v>0</v>
      </c>
      <c r="P196" s="73">
        <f t="shared" si="119"/>
        <v>0</v>
      </c>
    </row>
    <row r="199" spans="2:16" x14ac:dyDescent="0.25">
      <c r="E199" s="55"/>
    </row>
    <row r="200" spans="2:16" x14ac:dyDescent="0.25">
      <c r="B200" t="s">
        <v>101</v>
      </c>
      <c r="C200" s="54" t="s">
        <v>73</v>
      </c>
      <c r="D200" s="54" t="s">
        <v>74</v>
      </c>
      <c r="E200" s="54" t="s">
        <v>75</v>
      </c>
      <c r="F200" s="54" t="s">
        <v>76</v>
      </c>
      <c r="G200" s="54" t="s">
        <v>77</v>
      </c>
      <c r="H200" s="54" t="s">
        <v>78</v>
      </c>
      <c r="I200" s="54" t="s">
        <v>79</v>
      </c>
      <c r="J200" s="54" t="s">
        <v>80</v>
      </c>
      <c r="K200" s="54" t="s">
        <v>81</v>
      </c>
      <c r="L200" s="54" t="s">
        <v>82</v>
      </c>
      <c r="M200" s="54" t="s">
        <v>83</v>
      </c>
      <c r="N200" s="54" t="s">
        <v>84</v>
      </c>
      <c r="O200" s="54" t="s">
        <v>85</v>
      </c>
      <c r="P200" s="54" t="s">
        <v>86</v>
      </c>
    </row>
    <row r="201" spans="2:16" x14ac:dyDescent="0.25">
      <c r="B201" s="67" t="s">
        <v>56</v>
      </c>
      <c r="C201" s="61">
        <v>4.0999999999999996</v>
      </c>
      <c r="D201" s="61">
        <v>2.48</v>
      </c>
      <c r="E201" s="61">
        <v>1.94</v>
      </c>
      <c r="F201" s="61">
        <v>1.67</v>
      </c>
      <c r="G201" s="61">
        <v>1.5</v>
      </c>
      <c r="H201" s="61">
        <v>1.39</v>
      </c>
      <c r="I201" s="61">
        <v>1.32</v>
      </c>
      <c r="J201" s="61">
        <v>1.46</v>
      </c>
      <c r="K201" s="61">
        <v>1.39</v>
      </c>
      <c r="L201" s="62">
        <v>1.46</v>
      </c>
      <c r="M201" s="61">
        <v>1.29</v>
      </c>
      <c r="N201" s="61">
        <v>1.26</v>
      </c>
      <c r="O201" s="61">
        <v>1.22</v>
      </c>
      <c r="P201" s="61">
        <v>1.2</v>
      </c>
    </row>
    <row r="202" spans="2:16" x14ac:dyDescent="0.25">
      <c r="B202" s="67" t="s">
        <v>60</v>
      </c>
      <c r="C202" s="61">
        <v>4.0199999999999996</v>
      </c>
      <c r="D202" s="61">
        <v>2.39</v>
      </c>
      <c r="E202" s="61">
        <v>1.85</v>
      </c>
      <c r="F202" s="61">
        <v>1.58</v>
      </c>
      <c r="G202" s="61">
        <v>1.42</v>
      </c>
      <c r="H202" s="61">
        <v>1.31</v>
      </c>
      <c r="I202" s="61">
        <v>1.23</v>
      </c>
      <c r="J202" s="61">
        <v>1.37</v>
      </c>
      <c r="K202" s="61">
        <v>1.31</v>
      </c>
      <c r="L202" s="61">
        <v>1.25</v>
      </c>
      <c r="M202" s="61">
        <v>1.21</v>
      </c>
      <c r="N202" s="61">
        <v>1.17</v>
      </c>
      <c r="O202" s="61">
        <v>1.1399999999999999</v>
      </c>
      <c r="P202" s="61">
        <v>1.1100000000000001</v>
      </c>
    </row>
    <row r="203" spans="2:16" x14ac:dyDescent="0.25">
      <c r="B203" s="67" t="s">
        <v>61</v>
      </c>
      <c r="C203" s="61">
        <v>3.94</v>
      </c>
      <c r="D203" s="61">
        <v>2.31</v>
      </c>
      <c r="E203" s="61">
        <v>1.77</v>
      </c>
      <c r="F203" s="61">
        <v>1.5</v>
      </c>
      <c r="G203" s="61">
        <v>1.34</v>
      </c>
      <c r="H203" s="61">
        <v>1.23</v>
      </c>
      <c r="I203" s="61">
        <v>1.1499999999999999</v>
      </c>
      <c r="J203" s="61">
        <v>1.29</v>
      </c>
      <c r="K203" s="61">
        <v>1.22</v>
      </c>
      <c r="L203" s="61">
        <v>1.17</v>
      </c>
      <c r="M203" s="61">
        <v>1.1299999999999999</v>
      </c>
      <c r="N203" s="61">
        <v>1.0900000000000001</v>
      </c>
      <c r="O203" s="61">
        <v>1.06</v>
      </c>
      <c r="P203" s="61">
        <v>1.03</v>
      </c>
    </row>
    <row r="204" spans="2:16" x14ac:dyDescent="0.25">
      <c r="B204" s="67" t="s">
        <v>62</v>
      </c>
      <c r="C204" s="61">
        <v>3.85</v>
      </c>
      <c r="D204" s="61">
        <v>2.23</v>
      </c>
      <c r="E204" s="61">
        <v>1.69</v>
      </c>
      <c r="F204" s="61">
        <v>1.42</v>
      </c>
      <c r="G204" s="61">
        <v>1.25</v>
      </c>
      <c r="H204" s="61">
        <v>1.1399999999999999</v>
      </c>
      <c r="I204" s="61">
        <v>1.07</v>
      </c>
      <c r="J204" s="61">
        <v>1.21</v>
      </c>
      <c r="K204" s="61">
        <v>1.1399999999999999</v>
      </c>
      <c r="L204" s="61">
        <v>1.0900000000000001</v>
      </c>
      <c r="M204" s="61">
        <v>1.04</v>
      </c>
      <c r="N204" s="61">
        <v>1.01</v>
      </c>
      <c r="O204" s="79">
        <v>0.98</v>
      </c>
      <c r="P204" s="79">
        <v>0.95</v>
      </c>
    </row>
    <row r="205" spans="2:16" x14ac:dyDescent="0.25">
      <c r="B205" s="67" t="s">
        <v>63</v>
      </c>
      <c r="C205" s="61">
        <v>3.77</v>
      </c>
      <c r="D205" s="61">
        <v>2.14</v>
      </c>
      <c r="E205" s="61">
        <v>1.6</v>
      </c>
      <c r="F205" s="61">
        <v>1.33</v>
      </c>
      <c r="G205" s="61">
        <v>1.17</v>
      </c>
      <c r="H205" s="61">
        <v>1.06</v>
      </c>
      <c r="I205" s="79">
        <v>0.98</v>
      </c>
      <c r="J205" s="61">
        <v>1.1200000000000001</v>
      </c>
      <c r="K205" s="61">
        <v>1.06</v>
      </c>
      <c r="L205" s="79">
        <v>1</v>
      </c>
      <c r="M205" s="79">
        <v>0.96</v>
      </c>
      <c r="N205" s="79">
        <v>0.92</v>
      </c>
      <c r="O205" s="79">
        <v>0.89</v>
      </c>
      <c r="P205" s="79">
        <v>0.87</v>
      </c>
    </row>
    <row r="206" spans="2:16" x14ac:dyDescent="0.25">
      <c r="B206" s="67" t="s">
        <v>64</v>
      </c>
      <c r="C206" s="61">
        <v>3.69</v>
      </c>
      <c r="D206" s="61">
        <v>2.06</v>
      </c>
      <c r="E206" s="61">
        <v>1.52</v>
      </c>
      <c r="F206" s="61">
        <v>1.25</v>
      </c>
      <c r="G206" s="61">
        <v>1.0900000000000001</v>
      </c>
      <c r="H206" s="61">
        <v>0.98</v>
      </c>
      <c r="I206" s="79">
        <v>0.9</v>
      </c>
      <c r="J206" s="61">
        <v>1.04</v>
      </c>
      <c r="K206" s="79">
        <v>0.97</v>
      </c>
      <c r="L206" s="79">
        <v>0.92</v>
      </c>
      <c r="M206" s="64">
        <v>0.88</v>
      </c>
      <c r="N206" s="83">
        <v>0.84</v>
      </c>
      <c r="O206" s="83">
        <v>0.81</v>
      </c>
      <c r="P206" s="83">
        <v>0.78</v>
      </c>
    </row>
    <row r="207" spans="2:16" x14ac:dyDescent="0.25">
      <c r="B207" s="67" t="s">
        <v>65</v>
      </c>
      <c r="C207" s="61">
        <v>3.6</v>
      </c>
      <c r="D207" s="61">
        <v>1.98</v>
      </c>
      <c r="E207" s="61">
        <v>1.44</v>
      </c>
      <c r="F207" s="61">
        <v>1.17</v>
      </c>
      <c r="G207" s="61">
        <v>1</v>
      </c>
      <c r="H207" s="79">
        <v>0.9</v>
      </c>
      <c r="I207" s="83">
        <v>0.82</v>
      </c>
      <c r="J207" s="79">
        <v>0.96</v>
      </c>
      <c r="K207" s="79">
        <v>0.89</v>
      </c>
      <c r="L207" s="79">
        <v>0.84</v>
      </c>
      <c r="M207" s="83">
        <v>0.79</v>
      </c>
      <c r="N207" s="83">
        <v>0.76</v>
      </c>
      <c r="O207" s="83">
        <v>0.73</v>
      </c>
      <c r="P207" s="83">
        <v>0.7</v>
      </c>
    </row>
    <row r="208" spans="2:16" x14ac:dyDescent="0.25">
      <c r="B208" s="67" t="s">
        <v>66</v>
      </c>
      <c r="C208" s="79">
        <v>3.52</v>
      </c>
      <c r="D208" s="79">
        <v>1.89</v>
      </c>
      <c r="E208" s="79">
        <v>1.35</v>
      </c>
      <c r="F208" s="79">
        <v>1.08</v>
      </c>
      <c r="G208" s="79">
        <v>0.92</v>
      </c>
      <c r="H208" s="83">
        <v>0.81</v>
      </c>
      <c r="I208" s="83">
        <v>0.73</v>
      </c>
      <c r="J208" s="79">
        <v>0.87</v>
      </c>
      <c r="K208" s="83">
        <v>0.81</v>
      </c>
      <c r="L208" s="83">
        <v>0.75</v>
      </c>
      <c r="M208" s="83">
        <v>0.71</v>
      </c>
      <c r="N208" s="83">
        <v>0.67</v>
      </c>
      <c r="O208" s="83">
        <v>0.64</v>
      </c>
      <c r="P208" s="83">
        <v>0.62</v>
      </c>
    </row>
    <row r="209" spans="2:16" x14ac:dyDescent="0.25">
      <c r="B209" s="67" t="s">
        <v>55</v>
      </c>
      <c r="C209" s="79">
        <v>3.44</v>
      </c>
      <c r="D209" s="79">
        <v>1.81</v>
      </c>
      <c r="E209" s="79">
        <v>1.27</v>
      </c>
      <c r="F209" s="79">
        <v>1</v>
      </c>
      <c r="G209" s="83">
        <v>0.84</v>
      </c>
      <c r="H209" s="83">
        <v>0.73</v>
      </c>
      <c r="I209" s="83">
        <v>0.65</v>
      </c>
      <c r="J209" s="83">
        <v>0.79</v>
      </c>
      <c r="K209" s="83">
        <v>0.72</v>
      </c>
      <c r="L209" s="83">
        <v>0.67</v>
      </c>
      <c r="M209" s="83">
        <v>0.63</v>
      </c>
      <c r="N209" s="83">
        <v>0.59</v>
      </c>
      <c r="O209" s="83">
        <v>0.56000000000000005</v>
      </c>
      <c r="P209" s="83">
        <v>0.53</v>
      </c>
    </row>
    <row r="210" spans="2:16" x14ac:dyDescent="0.25">
      <c r="B210" s="67" t="s">
        <v>67</v>
      </c>
      <c r="C210" s="79">
        <v>3.35</v>
      </c>
      <c r="D210" s="79">
        <v>1.73</v>
      </c>
      <c r="E210" s="79">
        <v>1.19</v>
      </c>
      <c r="F210" s="83">
        <v>0.92</v>
      </c>
      <c r="G210" s="83">
        <v>0.75</v>
      </c>
      <c r="H210" s="83">
        <v>0.65</v>
      </c>
      <c r="I210" s="83">
        <v>0.56999999999999995</v>
      </c>
      <c r="J210" s="83">
        <v>0.71</v>
      </c>
      <c r="K210" s="83">
        <v>0.59</v>
      </c>
      <c r="L210" s="83">
        <v>0.51</v>
      </c>
      <c r="M210" s="83">
        <v>0.54</v>
      </c>
      <c r="N210" s="83">
        <v>0.51</v>
      </c>
      <c r="O210" s="83">
        <v>0.48</v>
      </c>
      <c r="P210" s="83">
        <v>0.45</v>
      </c>
    </row>
    <row r="211" spans="2:16" x14ac:dyDescent="0.25">
      <c r="B211" s="69" t="s">
        <v>57</v>
      </c>
      <c r="C211" s="65">
        <v>3.6</v>
      </c>
      <c r="D211" s="65">
        <v>1.89</v>
      </c>
      <c r="E211" s="65">
        <v>1.32</v>
      </c>
      <c r="F211" s="65">
        <v>1.04</v>
      </c>
      <c r="G211" s="83">
        <v>0.87</v>
      </c>
      <c r="H211" s="83">
        <v>0.75</v>
      </c>
      <c r="I211" s="83">
        <v>0.67</v>
      </c>
      <c r="J211" s="83">
        <v>0.81</v>
      </c>
      <c r="K211" s="83">
        <v>0.74</v>
      </c>
      <c r="L211" s="83">
        <v>0.69</v>
      </c>
      <c r="M211" s="83">
        <v>0.64</v>
      </c>
      <c r="N211" s="83">
        <v>0.6</v>
      </c>
      <c r="O211" s="83">
        <v>0.56999999999999995</v>
      </c>
      <c r="P211" s="83">
        <v>0.54</v>
      </c>
    </row>
    <row r="212" spans="2:16" x14ac:dyDescent="0.25">
      <c r="B212" s="68" t="s">
        <v>72</v>
      </c>
      <c r="C212" s="66">
        <v>3.19</v>
      </c>
      <c r="D212" s="66">
        <v>1.77</v>
      </c>
      <c r="E212" s="66">
        <v>1.29</v>
      </c>
      <c r="F212" s="66">
        <v>1.06</v>
      </c>
      <c r="G212" s="66">
        <v>0.92</v>
      </c>
      <c r="H212" s="66">
        <v>0.82</v>
      </c>
      <c r="I212" s="66">
        <v>0.75</v>
      </c>
      <c r="J212" s="66">
        <v>0.88</v>
      </c>
      <c r="K212" s="66">
        <v>0.82</v>
      </c>
      <c r="L212" s="66">
        <v>0.78</v>
      </c>
      <c r="M212" s="66">
        <v>0.94</v>
      </c>
      <c r="N212" s="66">
        <v>0.89</v>
      </c>
      <c r="O212" s="66">
        <v>0.85</v>
      </c>
      <c r="P212" s="66">
        <v>0.82</v>
      </c>
    </row>
    <row r="213" spans="2:16" x14ac:dyDescent="0.25">
      <c r="B213" s="68" t="s">
        <v>71</v>
      </c>
      <c r="C213" s="66">
        <v>3.15</v>
      </c>
      <c r="D213" s="66">
        <v>1.73</v>
      </c>
      <c r="E213" s="66">
        <v>1.26</v>
      </c>
      <c r="F213" s="66">
        <v>1.03</v>
      </c>
      <c r="G213" s="66">
        <v>0.88</v>
      </c>
      <c r="H213" s="66">
        <v>0.79</v>
      </c>
      <c r="I213" s="66">
        <v>0.72</v>
      </c>
      <c r="J213" s="66">
        <v>0.85</v>
      </c>
      <c r="K213" s="66">
        <v>0.79</v>
      </c>
      <c r="L213" s="66">
        <v>0.74</v>
      </c>
      <c r="M213" s="66">
        <v>0.7</v>
      </c>
      <c r="N213" s="66">
        <v>0.67</v>
      </c>
      <c r="O213" s="66">
        <v>0.65</v>
      </c>
      <c r="P213" s="66">
        <v>0.62</v>
      </c>
    </row>
    <row r="214" spans="2:16" x14ac:dyDescent="0.25">
      <c r="B214" s="68" t="s">
        <v>58</v>
      </c>
      <c r="C214" s="66">
        <v>3.12</v>
      </c>
      <c r="D214" s="66">
        <v>1.7</v>
      </c>
      <c r="E214" s="66">
        <v>1.23</v>
      </c>
      <c r="F214" s="66">
        <v>0.99</v>
      </c>
      <c r="G214" s="66">
        <v>0.85</v>
      </c>
      <c r="H214" s="66">
        <v>0.76</v>
      </c>
      <c r="I214" s="66">
        <v>0.69</v>
      </c>
      <c r="J214" s="66">
        <v>0.82</v>
      </c>
      <c r="K214" s="66">
        <v>0.76</v>
      </c>
      <c r="L214" s="66">
        <v>0.71</v>
      </c>
      <c r="M214" s="66">
        <v>0.67</v>
      </c>
      <c r="N214" s="66">
        <v>0.64</v>
      </c>
      <c r="O214" s="66">
        <v>0.61</v>
      </c>
      <c r="P214" s="66">
        <v>0.59</v>
      </c>
    </row>
    <row r="218" spans="2:16" x14ac:dyDescent="0.25">
      <c r="B218" t="s">
        <v>99</v>
      </c>
      <c r="C218" s="54" t="s">
        <v>73</v>
      </c>
      <c r="D218" s="54" t="s">
        <v>74</v>
      </c>
      <c r="E218" s="54" t="s">
        <v>75</v>
      </c>
      <c r="F218" s="54" t="s">
        <v>76</v>
      </c>
      <c r="G218" s="54" t="s">
        <v>77</v>
      </c>
      <c r="H218" s="54" t="s">
        <v>78</v>
      </c>
      <c r="I218" s="54" t="s">
        <v>79</v>
      </c>
      <c r="J218" s="54" t="s">
        <v>80</v>
      </c>
      <c r="K218" s="54" t="s">
        <v>81</v>
      </c>
      <c r="L218" s="54" t="s">
        <v>82</v>
      </c>
      <c r="M218" s="54" t="s">
        <v>83</v>
      </c>
      <c r="N218" s="54" t="s">
        <v>84</v>
      </c>
      <c r="O218" s="54" t="s">
        <v>85</v>
      </c>
      <c r="P218" s="54" t="s">
        <v>86</v>
      </c>
    </row>
    <row r="219" spans="2:16" x14ac:dyDescent="0.25">
      <c r="B219" s="67" t="s">
        <v>56</v>
      </c>
      <c r="C219" s="70">
        <f t="shared" ref="C219:P219" si="120">C201/C$82-1</f>
        <v>0.31410256410256387</v>
      </c>
      <c r="D219" s="70">
        <f t="shared" si="120"/>
        <v>0.45882352941176463</v>
      </c>
      <c r="E219" s="70">
        <f t="shared" si="120"/>
        <v>0.5772357723577235</v>
      </c>
      <c r="F219" s="70">
        <f t="shared" si="120"/>
        <v>0.68686868686868685</v>
      </c>
      <c r="G219" s="70">
        <f t="shared" si="120"/>
        <v>0.76470588235294112</v>
      </c>
      <c r="H219" s="70">
        <f t="shared" si="120"/>
        <v>0.82894736842105243</v>
      </c>
      <c r="I219" s="70">
        <f t="shared" si="120"/>
        <v>0.91304347826086985</v>
      </c>
      <c r="J219" s="70">
        <f t="shared" si="120"/>
        <v>0.78048780487804881</v>
      </c>
      <c r="K219" s="70">
        <f t="shared" si="120"/>
        <v>0.82894736842105243</v>
      </c>
      <c r="L219" s="70">
        <f t="shared" si="120"/>
        <v>1.056338028169014</v>
      </c>
      <c r="M219" s="70">
        <f t="shared" si="120"/>
        <v>0.92537313432835822</v>
      </c>
      <c r="N219" s="70">
        <f t="shared" si="120"/>
        <v>0.96875</v>
      </c>
      <c r="O219" s="70">
        <f t="shared" si="120"/>
        <v>1</v>
      </c>
      <c r="P219" s="70">
        <f t="shared" si="120"/>
        <v>1.0338983050847457</v>
      </c>
    </row>
    <row r="220" spans="2:16" x14ac:dyDescent="0.25">
      <c r="B220" s="67" t="s">
        <v>60</v>
      </c>
      <c r="C220" s="70">
        <f t="shared" ref="C220:P220" si="121">C202/C$82-1</f>
        <v>0.28846153846153832</v>
      </c>
      <c r="D220" s="70">
        <f t="shared" si="121"/>
        <v>0.40588235294117658</v>
      </c>
      <c r="E220" s="70">
        <f t="shared" si="121"/>
        <v>0.50406504065040658</v>
      </c>
      <c r="F220" s="70">
        <f t="shared" si="121"/>
        <v>0.59595959595959602</v>
      </c>
      <c r="G220" s="70">
        <f t="shared" si="121"/>
        <v>0.67058823529411771</v>
      </c>
      <c r="H220" s="70">
        <f t="shared" si="121"/>
        <v>0.72368421052631593</v>
      </c>
      <c r="I220" s="70">
        <f t="shared" si="121"/>
        <v>0.78260869565217406</v>
      </c>
      <c r="J220" s="70">
        <f t="shared" si="121"/>
        <v>0.67073170731707332</v>
      </c>
      <c r="K220" s="70">
        <f t="shared" si="121"/>
        <v>0.72368421052631593</v>
      </c>
      <c r="L220" s="70">
        <f t="shared" si="121"/>
        <v>0.76056338028169024</v>
      </c>
      <c r="M220" s="70">
        <f t="shared" si="121"/>
        <v>0.80597014925373123</v>
      </c>
      <c r="N220" s="70">
        <f t="shared" si="121"/>
        <v>0.82812499999999978</v>
      </c>
      <c r="O220" s="70">
        <f t="shared" si="121"/>
        <v>0.8688524590163933</v>
      </c>
      <c r="P220" s="70">
        <f t="shared" si="121"/>
        <v>0.88135593220339015</v>
      </c>
    </row>
    <row r="221" spans="2:16" x14ac:dyDescent="0.25">
      <c r="B221" s="67" t="s">
        <v>61</v>
      </c>
      <c r="C221" s="70">
        <f t="shared" ref="C221:P221" si="122">C203/C$82-1</f>
        <v>0.26282051282051277</v>
      </c>
      <c r="D221" s="70">
        <f t="shared" si="122"/>
        <v>0.35882352941176476</v>
      </c>
      <c r="E221" s="70">
        <f t="shared" si="122"/>
        <v>0.43902439024390238</v>
      </c>
      <c r="F221" s="70">
        <f t="shared" si="122"/>
        <v>0.51515151515151514</v>
      </c>
      <c r="G221" s="70">
        <f t="shared" si="122"/>
        <v>0.57647058823529429</v>
      </c>
      <c r="H221" s="70">
        <f t="shared" si="122"/>
        <v>0.61842105263157898</v>
      </c>
      <c r="I221" s="70">
        <f t="shared" si="122"/>
        <v>0.66666666666666674</v>
      </c>
      <c r="J221" s="70">
        <f t="shared" si="122"/>
        <v>0.57317073170731714</v>
      </c>
      <c r="K221" s="70">
        <f t="shared" si="122"/>
        <v>0.60526315789473673</v>
      </c>
      <c r="L221" s="70">
        <f t="shared" si="122"/>
        <v>0.647887323943662</v>
      </c>
      <c r="M221" s="70">
        <f t="shared" si="122"/>
        <v>0.68656716417910424</v>
      </c>
      <c r="N221" s="70">
        <f t="shared" si="122"/>
        <v>0.703125</v>
      </c>
      <c r="O221" s="70">
        <f t="shared" si="122"/>
        <v>0.73770491803278704</v>
      </c>
      <c r="P221" s="70">
        <f t="shared" si="122"/>
        <v>0.74576271186440701</v>
      </c>
    </row>
    <row r="222" spans="2:16" x14ac:dyDescent="0.25">
      <c r="B222" s="67" t="s">
        <v>62</v>
      </c>
      <c r="C222" s="70">
        <f t="shared" ref="C222:P222" si="123">C204/C$82-1</f>
        <v>0.23397435897435903</v>
      </c>
      <c r="D222" s="70">
        <f t="shared" si="123"/>
        <v>0.31176470588235294</v>
      </c>
      <c r="E222" s="70">
        <f t="shared" si="123"/>
        <v>0.37398373983739841</v>
      </c>
      <c r="F222" s="70">
        <f t="shared" si="123"/>
        <v>0.43434343434343425</v>
      </c>
      <c r="G222" s="70">
        <f t="shared" si="123"/>
        <v>0.47058823529411775</v>
      </c>
      <c r="H222" s="70">
        <f t="shared" si="123"/>
        <v>0.49999999999999978</v>
      </c>
      <c r="I222" s="70">
        <f t="shared" si="123"/>
        <v>0.55072463768115965</v>
      </c>
      <c r="J222" s="70">
        <f t="shared" si="123"/>
        <v>0.47560975609756095</v>
      </c>
      <c r="K222" s="70">
        <f t="shared" si="123"/>
        <v>0.49999999999999978</v>
      </c>
      <c r="L222" s="70">
        <f t="shared" si="123"/>
        <v>0.53521126760563398</v>
      </c>
      <c r="M222" s="70">
        <f t="shared" si="123"/>
        <v>0.55223880597014929</v>
      </c>
      <c r="N222" s="70">
        <f t="shared" si="123"/>
        <v>0.578125</v>
      </c>
      <c r="O222" s="70">
        <f t="shared" si="123"/>
        <v>0.60655737704918034</v>
      </c>
      <c r="P222" s="70">
        <f t="shared" si="123"/>
        <v>0.61016949152542366</v>
      </c>
    </row>
    <row r="223" spans="2:16" x14ac:dyDescent="0.25">
      <c r="B223" s="67" t="s">
        <v>63</v>
      </c>
      <c r="C223" s="70">
        <f t="shared" ref="C223:P223" si="124">C205/C$82-1</f>
        <v>0.20833333333333326</v>
      </c>
      <c r="D223" s="70">
        <f t="shared" si="124"/>
        <v>0.2588235294117649</v>
      </c>
      <c r="E223" s="70">
        <f t="shared" si="124"/>
        <v>0.30081300813008149</v>
      </c>
      <c r="F223" s="70">
        <f t="shared" si="124"/>
        <v>0.34343434343434343</v>
      </c>
      <c r="G223" s="70">
        <f t="shared" si="124"/>
        <v>0.37647058823529411</v>
      </c>
      <c r="H223" s="70">
        <f t="shared" si="124"/>
        <v>0.39473684210526327</v>
      </c>
      <c r="I223" s="70">
        <f t="shared" si="124"/>
        <v>0.42028985507246386</v>
      </c>
      <c r="J223" s="70">
        <f t="shared" si="124"/>
        <v>0.36585365853658547</v>
      </c>
      <c r="K223" s="70">
        <f t="shared" si="124"/>
        <v>0.39473684210526327</v>
      </c>
      <c r="L223" s="70">
        <f t="shared" si="124"/>
        <v>0.40845070422535223</v>
      </c>
      <c r="M223" s="70">
        <f t="shared" si="124"/>
        <v>0.43283582089552231</v>
      </c>
      <c r="N223" s="70">
        <f t="shared" si="124"/>
        <v>0.4375</v>
      </c>
      <c r="O223" s="70">
        <f t="shared" si="124"/>
        <v>0.45901639344262302</v>
      </c>
      <c r="P223" s="70">
        <f t="shared" si="124"/>
        <v>0.47457627118644075</v>
      </c>
    </row>
    <row r="224" spans="2:16" x14ac:dyDescent="0.25">
      <c r="B224" s="67" t="s">
        <v>64</v>
      </c>
      <c r="C224" s="70">
        <f t="shared" ref="C224:P224" si="125">C206/C$82-1</f>
        <v>0.18269230769230771</v>
      </c>
      <c r="D224" s="70">
        <f t="shared" si="125"/>
        <v>0.21176470588235308</v>
      </c>
      <c r="E224" s="70">
        <f t="shared" si="125"/>
        <v>0.2357723577235773</v>
      </c>
      <c r="F224" s="70">
        <f t="shared" si="125"/>
        <v>0.26262626262626254</v>
      </c>
      <c r="G224" s="70">
        <f t="shared" si="125"/>
        <v>0.2823529411764707</v>
      </c>
      <c r="H224" s="70">
        <f t="shared" si="125"/>
        <v>0.28947368421052633</v>
      </c>
      <c r="I224" s="70">
        <f t="shared" si="125"/>
        <v>0.30434782608695676</v>
      </c>
      <c r="J224" s="70">
        <f t="shared" si="125"/>
        <v>0.26829268292682928</v>
      </c>
      <c r="K224" s="70">
        <f t="shared" si="125"/>
        <v>0.27631578947368407</v>
      </c>
      <c r="L224" s="70">
        <f t="shared" si="125"/>
        <v>0.29577464788732399</v>
      </c>
      <c r="M224" s="70">
        <f t="shared" si="125"/>
        <v>0.31343283582089554</v>
      </c>
      <c r="N224" s="70">
        <f t="shared" si="125"/>
        <v>0.3125</v>
      </c>
      <c r="O224" s="70">
        <f t="shared" si="125"/>
        <v>0.32786885245901654</v>
      </c>
      <c r="P224" s="70">
        <f t="shared" si="125"/>
        <v>0.32203389830508478</v>
      </c>
    </row>
    <row r="225" spans="2:16" x14ac:dyDescent="0.25">
      <c r="B225" s="67" t="s">
        <v>65</v>
      </c>
      <c r="C225" s="70">
        <f t="shared" ref="C225:P225" si="126">C207/C$82-1</f>
        <v>0.15384615384615374</v>
      </c>
      <c r="D225" s="70">
        <f t="shared" si="126"/>
        <v>0.16470588235294126</v>
      </c>
      <c r="E225" s="70">
        <f t="shared" si="126"/>
        <v>0.1707317073170731</v>
      </c>
      <c r="F225" s="70">
        <f t="shared" si="126"/>
        <v>0.18181818181818166</v>
      </c>
      <c r="G225" s="70">
        <f t="shared" si="126"/>
        <v>0.17647058823529416</v>
      </c>
      <c r="H225" s="70">
        <f t="shared" si="126"/>
        <v>0.18421052631578938</v>
      </c>
      <c r="I225" s="70">
        <f t="shared" si="126"/>
        <v>0.18840579710144922</v>
      </c>
      <c r="J225" s="80">
        <f t="shared" si="126"/>
        <v>0.1707317073170731</v>
      </c>
      <c r="K225" s="80">
        <f t="shared" si="126"/>
        <v>0.17105263157894735</v>
      </c>
      <c r="L225" s="80">
        <f t="shared" si="126"/>
        <v>0.18309859154929575</v>
      </c>
      <c r="M225" s="80">
        <f t="shared" si="126"/>
        <v>0.17910447761194037</v>
      </c>
      <c r="N225" s="80">
        <f t="shared" si="126"/>
        <v>0.1875</v>
      </c>
      <c r="O225" s="80">
        <f t="shared" si="126"/>
        <v>0.19672131147540983</v>
      </c>
      <c r="P225" s="80">
        <f t="shared" si="126"/>
        <v>0.18644067796610164</v>
      </c>
    </row>
    <row r="226" spans="2:16" x14ac:dyDescent="0.25">
      <c r="B226" s="67" t="s">
        <v>66</v>
      </c>
      <c r="C226" s="80">
        <f t="shared" ref="C226:P226" si="127">C208/C$82-1</f>
        <v>0.12820512820512819</v>
      </c>
      <c r="D226" s="80">
        <f t="shared" si="127"/>
        <v>0.11176470588235299</v>
      </c>
      <c r="E226" s="80">
        <f t="shared" si="127"/>
        <v>9.7560975609756184E-2</v>
      </c>
      <c r="F226" s="76">
        <f t="shared" si="127"/>
        <v>9.090909090909105E-2</v>
      </c>
      <c r="G226" s="76">
        <f t="shared" si="127"/>
        <v>8.235294117647074E-2</v>
      </c>
      <c r="H226" s="76">
        <f t="shared" si="127"/>
        <v>6.578947368421062E-2</v>
      </c>
      <c r="I226" s="76">
        <f t="shared" si="127"/>
        <v>5.7971014492753659E-2</v>
      </c>
      <c r="J226" s="76">
        <f t="shared" si="127"/>
        <v>6.0975609756097615E-2</v>
      </c>
      <c r="K226" s="76">
        <f t="shared" si="127"/>
        <v>6.578947368421062E-2</v>
      </c>
      <c r="L226" s="76">
        <f t="shared" si="127"/>
        <v>5.6338028169014231E-2</v>
      </c>
      <c r="M226" s="76">
        <f t="shared" si="127"/>
        <v>5.9701492537313383E-2</v>
      </c>
      <c r="N226" s="76">
        <f t="shared" si="127"/>
        <v>4.6875E-2</v>
      </c>
      <c r="O226" s="76">
        <f t="shared" si="127"/>
        <v>4.9180327868852514E-2</v>
      </c>
      <c r="P226" s="76">
        <f t="shared" si="127"/>
        <v>5.0847457627118731E-2</v>
      </c>
    </row>
    <row r="227" spans="2:16" x14ac:dyDescent="0.25">
      <c r="B227" s="67" t="s">
        <v>55</v>
      </c>
      <c r="C227" s="76">
        <f t="shared" ref="C227:P227" si="128">C209/C$82-1</f>
        <v>0.10256410256410242</v>
      </c>
      <c r="D227" s="76">
        <f t="shared" si="128"/>
        <v>6.4705882352941169E-2</v>
      </c>
      <c r="E227" s="76">
        <f t="shared" si="128"/>
        <v>3.2520325203251987E-2</v>
      </c>
      <c r="F227" s="76">
        <f t="shared" si="128"/>
        <v>1.0101010101010166E-2</v>
      </c>
      <c r="G227" s="81">
        <f t="shared" si="128"/>
        <v>-1.1764705882352899E-2</v>
      </c>
      <c r="H227" s="81">
        <f t="shared" si="128"/>
        <v>-3.9473684210526327E-2</v>
      </c>
      <c r="I227" s="81">
        <f t="shared" si="128"/>
        <v>-5.7971014492753548E-2</v>
      </c>
      <c r="J227" s="81">
        <f t="shared" si="128"/>
        <v>-3.6585365853658458E-2</v>
      </c>
      <c r="K227" s="81">
        <f t="shared" si="128"/>
        <v>-5.2631578947368474E-2</v>
      </c>
      <c r="L227" s="81">
        <f t="shared" si="128"/>
        <v>-5.6338028169014009E-2</v>
      </c>
      <c r="M227" s="81">
        <f t="shared" si="128"/>
        <v>-5.9701492537313494E-2</v>
      </c>
      <c r="N227" s="81">
        <f t="shared" si="128"/>
        <v>-7.8125000000000111E-2</v>
      </c>
      <c r="O227" s="81">
        <f t="shared" si="128"/>
        <v>-8.1967213114753967E-2</v>
      </c>
      <c r="P227" s="81">
        <f t="shared" si="128"/>
        <v>-0.10169491525423724</v>
      </c>
    </row>
    <row r="228" spans="2:16" x14ac:dyDescent="0.25">
      <c r="B228" s="67" t="s">
        <v>67</v>
      </c>
      <c r="C228" s="76">
        <f t="shared" ref="C228:P228" si="129">C210/C$82-1</f>
        <v>7.3717948717948678E-2</v>
      </c>
      <c r="D228" s="76">
        <f t="shared" si="129"/>
        <v>1.7647058823529349E-2</v>
      </c>
      <c r="E228" s="81">
        <f t="shared" si="129"/>
        <v>-3.2520325203252098E-2</v>
      </c>
      <c r="F228" s="81">
        <f t="shared" si="129"/>
        <v>-7.0707070707070607E-2</v>
      </c>
      <c r="G228" s="81">
        <f t="shared" si="129"/>
        <v>-0.11764705882352944</v>
      </c>
      <c r="H228" s="81">
        <f t="shared" si="129"/>
        <v>-0.14473684210526316</v>
      </c>
      <c r="I228" s="81">
        <f t="shared" si="129"/>
        <v>-0.17391304347826086</v>
      </c>
      <c r="J228" s="81">
        <f t="shared" si="129"/>
        <v>-0.13414634146341464</v>
      </c>
      <c r="K228" s="81">
        <f t="shared" si="129"/>
        <v>-0.22368421052631582</v>
      </c>
      <c r="L228" s="81">
        <f t="shared" si="129"/>
        <v>-0.28169014084507038</v>
      </c>
      <c r="M228" s="81">
        <f t="shared" si="129"/>
        <v>-0.19402985074626866</v>
      </c>
      <c r="N228" s="81">
        <f t="shared" si="129"/>
        <v>-0.203125</v>
      </c>
      <c r="O228" s="81">
        <f t="shared" si="129"/>
        <v>-0.21311475409836067</v>
      </c>
      <c r="P228" s="81">
        <f t="shared" si="129"/>
        <v>-0.23728813559322026</v>
      </c>
    </row>
    <row r="229" spans="2:16" x14ac:dyDescent="0.25">
      <c r="B229" s="69" t="s">
        <v>57</v>
      </c>
      <c r="C229" s="72">
        <f t="shared" ref="C229:P229" si="130">C211/C$82-1</f>
        <v>0.15384615384615374</v>
      </c>
      <c r="D229" s="72">
        <f t="shared" si="130"/>
        <v>0.11176470588235299</v>
      </c>
      <c r="E229" s="72">
        <f t="shared" si="130"/>
        <v>7.3170731707317138E-2</v>
      </c>
      <c r="F229" s="72">
        <f t="shared" si="130"/>
        <v>5.0505050505050608E-2</v>
      </c>
      <c r="G229" s="72">
        <f t="shared" si="130"/>
        <v>2.3529411764705799E-2</v>
      </c>
      <c r="H229" s="72">
        <f t="shared" si="130"/>
        <v>-1.3157894736842146E-2</v>
      </c>
      <c r="I229" s="72">
        <f t="shared" si="130"/>
        <v>-2.8985507246376718E-2</v>
      </c>
      <c r="J229" s="72">
        <f t="shared" si="130"/>
        <v>-1.2195121951219412E-2</v>
      </c>
      <c r="K229" s="72">
        <f t="shared" si="130"/>
        <v>-2.6315789473684181E-2</v>
      </c>
      <c r="L229" s="72">
        <f t="shared" si="130"/>
        <v>-2.8169014084507116E-2</v>
      </c>
      <c r="M229" s="72">
        <f t="shared" si="130"/>
        <v>-4.4776119402985093E-2</v>
      </c>
      <c r="N229" s="72">
        <f t="shared" si="130"/>
        <v>-6.25E-2</v>
      </c>
      <c r="O229" s="72">
        <f t="shared" si="130"/>
        <v>-6.5573770491803351E-2</v>
      </c>
      <c r="P229" s="72">
        <f t="shared" si="130"/>
        <v>-8.4745762711864292E-2</v>
      </c>
    </row>
    <row r="230" spans="2:16" x14ac:dyDescent="0.25">
      <c r="B230" s="68" t="s">
        <v>58</v>
      </c>
      <c r="C230" s="73">
        <v>0</v>
      </c>
      <c r="D230" s="73">
        <v>0</v>
      </c>
      <c r="E230" s="73">
        <v>0</v>
      </c>
      <c r="F230" s="73">
        <v>0</v>
      </c>
      <c r="G230" s="73">
        <v>0</v>
      </c>
      <c r="H230" s="73">
        <v>0</v>
      </c>
      <c r="I230" s="73">
        <v>0</v>
      </c>
      <c r="J230" s="73">
        <v>0</v>
      </c>
      <c r="K230" s="73">
        <v>0</v>
      </c>
      <c r="L230" s="73">
        <v>0</v>
      </c>
      <c r="M230" s="73">
        <v>0</v>
      </c>
      <c r="N230" s="73">
        <v>0</v>
      </c>
      <c r="O230" s="73">
        <v>0</v>
      </c>
      <c r="P230" s="73">
        <v>0</v>
      </c>
    </row>
    <row r="234" spans="2:16" x14ac:dyDescent="0.25">
      <c r="B234" t="s">
        <v>100</v>
      </c>
      <c r="C234" s="54" t="s">
        <v>73</v>
      </c>
      <c r="D234" s="54" t="s">
        <v>74</v>
      </c>
      <c r="E234" s="54" t="s">
        <v>75</v>
      </c>
      <c r="F234" s="54" t="s">
        <v>76</v>
      </c>
      <c r="G234" s="54" t="s">
        <v>77</v>
      </c>
      <c r="H234" s="54" t="s">
        <v>78</v>
      </c>
      <c r="I234" s="54" t="s">
        <v>79</v>
      </c>
      <c r="J234" s="54" t="s">
        <v>80</v>
      </c>
      <c r="K234" s="54" t="s">
        <v>81</v>
      </c>
      <c r="L234" s="54" t="s">
        <v>82</v>
      </c>
      <c r="M234" s="54" t="s">
        <v>83</v>
      </c>
      <c r="N234" s="54" t="s">
        <v>84</v>
      </c>
      <c r="O234" s="54" t="s">
        <v>85</v>
      </c>
      <c r="P234" s="54" t="s">
        <v>86</v>
      </c>
    </row>
    <row r="235" spans="2:16" x14ac:dyDescent="0.25">
      <c r="B235" s="74" t="s">
        <v>56</v>
      </c>
      <c r="C235" s="75">
        <f t="shared" ref="C235:P235" si="131">C201/C$16-1</f>
        <v>0.3015873015873014</v>
      </c>
      <c r="D235" s="75">
        <f t="shared" si="131"/>
        <v>0.43352601156069359</v>
      </c>
      <c r="E235" s="75">
        <f t="shared" si="131"/>
        <v>0.53968253968253954</v>
      </c>
      <c r="F235" s="75">
        <f t="shared" si="131"/>
        <v>0.62135922330097082</v>
      </c>
      <c r="G235" s="75">
        <f t="shared" si="131"/>
        <v>0.70454545454545459</v>
      </c>
      <c r="H235" s="75">
        <f t="shared" si="131"/>
        <v>0.75949367088607578</v>
      </c>
      <c r="I235" s="75">
        <f t="shared" si="131"/>
        <v>0.83333333333333348</v>
      </c>
      <c r="J235" s="75">
        <f t="shared" si="131"/>
        <v>0.7176470588235293</v>
      </c>
      <c r="K235" s="75">
        <f t="shared" si="131"/>
        <v>0.75949367088607578</v>
      </c>
      <c r="L235" s="75">
        <f t="shared" si="131"/>
        <v>0.97297297297297303</v>
      </c>
      <c r="M235" s="75">
        <f t="shared" si="131"/>
        <v>0.84285714285714297</v>
      </c>
      <c r="N235" s="75">
        <f t="shared" si="131"/>
        <v>0.88059701492537301</v>
      </c>
      <c r="O235" s="75">
        <f t="shared" si="131"/>
        <v>0.87692307692307692</v>
      </c>
      <c r="P235" s="75">
        <f t="shared" si="131"/>
        <v>0.93548387096774177</v>
      </c>
    </row>
    <row r="236" spans="2:16" x14ac:dyDescent="0.25">
      <c r="B236" s="74" t="s">
        <v>60</v>
      </c>
      <c r="C236" s="75">
        <f t="shared" ref="C236:P236" si="132">C202/C$16-1</f>
        <v>0.2761904761904761</v>
      </c>
      <c r="D236" s="75">
        <f t="shared" si="132"/>
        <v>0.38150289017341055</v>
      </c>
      <c r="E236" s="75">
        <f t="shared" si="132"/>
        <v>0.46825396825396837</v>
      </c>
      <c r="F236" s="75">
        <f t="shared" si="132"/>
        <v>0.53398058252427183</v>
      </c>
      <c r="G236" s="75">
        <f t="shared" si="132"/>
        <v>0.61363636363636354</v>
      </c>
      <c r="H236" s="75">
        <f t="shared" si="132"/>
        <v>0.65822784810126578</v>
      </c>
      <c r="I236" s="75">
        <f t="shared" si="132"/>
        <v>0.70833333333333348</v>
      </c>
      <c r="J236" s="75">
        <f t="shared" si="132"/>
        <v>0.61176470588235321</v>
      </c>
      <c r="K236" s="75">
        <f t="shared" si="132"/>
        <v>0.65822784810126578</v>
      </c>
      <c r="L236" s="75">
        <f t="shared" si="132"/>
        <v>0.68918918918918926</v>
      </c>
      <c r="M236" s="75">
        <f t="shared" si="132"/>
        <v>0.72857142857142865</v>
      </c>
      <c r="N236" s="75">
        <f t="shared" si="132"/>
        <v>0.74626865671641762</v>
      </c>
      <c r="O236" s="75">
        <f t="shared" si="132"/>
        <v>0.75384615384615361</v>
      </c>
      <c r="P236" s="75">
        <f t="shared" si="132"/>
        <v>0.79032258064516148</v>
      </c>
    </row>
    <row r="237" spans="2:16" x14ac:dyDescent="0.25">
      <c r="B237" s="74" t="s">
        <v>61</v>
      </c>
      <c r="C237" s="75">
        <f t="shared" ref="C237:P237" si="133">C203/C$16-1</f>
        <v>0.25079365079365079</v>
      </c>
      <c r="D237" s="75">
        <f t="shared" si="133"/>
        <v>0.33526011560693636</v>
      </c>
      <c r="E237" s="75">
        <f t="shared" si="133"/>
        <v>0.40476190476190466</v>
      </c>
      <c r="F237" s="75">
        <f t="shared" si="133"/>
        <v>0.4563106796116505</v>
      </c>
      <c r="G237" s="75">
        <f t="shared" si="133"/>
        <v>0.52272727272727271</v>
      </c>
      <c r="H237" s="75">
        <f t="shared" si="133"/>
        <v>0.55696202531645556</v>
      </c>
      <c r="I237" s="75">
        <f t="shared" si="133"/>
        <v>0.5972222222222221</v>
      </c>
      <c r="J237" s="75">
        <f t="shared" si="133"/>
        <v>0.51764705882352957</v>
      </c>
      <c r="K237" s="75">
        <f t="shared" si="133"/>
        <v>0.54430379746835422</v>
      </c>
      <c r="L237" s="75">
        <f t="shared" si="133"/>
        <v>0.58108108108108092</v>
      </c>
      <c r="M237" s="75">
        <f t="shared" si="133"/>
        <v>0.61428571428571432</v>
      </c>
      <c r="N237" s="75">
        <f t="shared" si="133"/>
        <v>0.62686567164179108</v>
      </c>
      <c r="O237" s="75">
        <f t="shared" si="133"/>
        <v>0.63076923076923075</v>
      </c>
      <c r="P237" s="75">
        <f t="shared" si="133"/>
        <v>0.66129032258064524</v>
      </c>
    </row>
    <row r="238" spans="2:16" x14ac:dyDescent="0.25">
      <c r="B238" s="74" t="s">
        <v>62</v>
      </c>
      <c r="C238" s="75">
        <f t="shared" ref="C238:P238" si="134">C204/C$16-1</f>
        <v>0.22222222222222232</v>
      </c>
      <c r="D238" s="75">
        <f t="shared" si="134"/>
        <v>0.28901734104046239</v>
      </c>
      <c r="E238" s="75">
        <f t="shared" si="134"/>
        <v>0.34126984126984117</v>
      </c>
      <c r="F238" s="75">
        <f t="shared" si="134"/>
        <v>0.37864077669902896</v>
      </c>
      <c r="G238" s="75">
        <f t="shared" si="134"/>
        <v>0.42045454545454541</v>
      </c>
      <c r="H238" s="75">
        <f t="shared" si="134"/>
        <v>0.44303797468354422</v>
      </c>
      <c r="I238" s="75">
        <f t="shared" si="134"/>
        <v>0.48611111111111116</v>
      </c>
      <c r="J238" s="75">
        <f t="shared" si="134"/>
        <v>0.42352941176470593</v>
      </c>
      <c r="K238" s="75">
        <f t="shared" si="134"/>
        <v>0.44303797468354422</v>
      </c>
      <c r="L238" s="75">
        <f t="shared" si="134"/>
        <v>0.47297297297297303</v>
      </c>
      <c r="M238" s="75">
        <f t="shared" si="134"/>
        <v>0.48571428571428577</v>
      </c>
      <c r="N238" s="75">
        <f t="shared" si="134"/>
        <v>0.50746268656716409</v>
      </c>
      <c r="O238" s="75">
        <f t="shared" si="134"/>
        <v>0.50769230769230766</v>
      </c>
      <c r="P238" s="75">
        <f t="shared" si="134"/>
        <v>0.532258064516129</v>
      </c>
    </row>
    <row r="239" spans="2:16" x14ac:dyDescent="0.25">
      <c r="B239" s="74" t="s">
        <v>63</v>
      </c>
      <c r="C239" s="75">
        <f t="shared" ref="C239:P239" si="135">C205/C$16-1</f>
        <v>0.19682539682539679</v>
      </c>
      <c r="D239" s="75">
        <f t="shared" si="135"/>
        <v>0.23699421965317935</v>
      </c>
      <c r="E239" s="75">
        <f t="shared" si="135"/>
        <v>0.26984126984126999</v>
      </c>
      <c r="F239" s="75">
        <f t="shared" si="135"/>
        <v>0.29126213592233019</v>
      </c>
      <c r="G239" s="75">
        <f t="shared" si="135"/>
        <v>0.32954545454545436</v>
      </c>
      <c r="H239" s="75">
        <f t="shared" si="135"/>
        <v>0.34177215189873422</v>
      </c>
      <c r="I239" s="75">
        <f t="shared" si="135"/>
        <v>0.36111111111111116</v>
      </c>
      <c r="J239" s="75">
        <f t="shared" si="135"/>
        <v>0.31764705882352962</v>
      </c>
      <c r="K239" s="75">
        <f t="shared" si="135"/>
        <v>0.34177215189873422</v>
      </c>
      <c r="L239" s="75">
        <f t="shared" si="135"/>
        <v>0.35135135135135132</v>
      </c>
      <c r="M239" s="75">
        <f t="shared" si="135"/>
        <v>0.37142857142857144</v>
      </c>
      <c r="N239" s="75">
        <f t="shared" si="135"/>
        <v>0.37313432835820892</v>
      </c>
      <c r="O239" s="75">
        <f t="shared" si="135"/>
        <v>0.36923076923076925</v>
      </c>
      <c r="P239" s="75">
        <f t="shared" si="135"/>
        <v>0.40322580645161299</v>
      </c>
    </row>
    <row r="240" spans="2:16" x14ac:dyDescent="0.25">
      <c r="B240" s="74" t="s">
        <v>64</v>
      </c>
      <c r="C240" s="80">
        <f t="shared" ref="C240:P240" si="136">C206/C$16-1</f>
        <v>0.17142857142857149</v>
      </c>
      <c r="D240" s="80">
        <f t="shared" si="136"/>
        <v>0.19075144508670516</v>
      </c>
      <c r="E240" s="75">
        <f t="shared" si="136"/>
        <v>0.20634920634920628</v>
      </c>
      <c r="F240" s="75">
        <f t="shared" si="136"/>
        <v>0.21359223300970864</v>
      </c>
      <c r="G240" s="75">
        <f t="shared" si="136"/>
        <v>0.23863636363636376</v>
      </c>
      <c r="H240" s="75">
        <f t="shared" si="136"/>
        <v>0.240506329113924</v>
      </c>
      <c r="I240" s="75">
        <f t="shared" si="136"/>
        <v>0.25</v>
      </c>
      <c r="J240" s="75">
        <f t="shared" si="136"/>
        <v>0.22352941176470598</v>
      </c>
      <c r="K240" s="75">
        <f t="shared" si="136"/>
        <v>0.22784810126582267</v>
      </c>
      <c r="L240" s="75">
        <f t="shared" si="136"/>
        <v>0.2432432432432432</v>
      </c>
      <c r="M240" s="75">
        <f t="shared" si="136"/>
        <v>0.25714285714285734</v>
      </c>
      <c r="N240" s="75">
        <f t="shared" si="136"/>
        <v>0.25373134328358193</v>
      </c>
      <c r="O240" s="75">
        <f t="shared" si="136"/>
        <v>0.24615384615384617</v>
      </c>
      <c r="P240" s="75">
        <f t="shared" si="136"/>
        <v>0.25806451612903225</v>
      </c>
    </row>
    <row r="241" spans="2:16" x14ac:dyDescent="0.25">
      <c r="B241" s="74" t="s">
        <v>65</v>
      </c>
      <c r="C241" s="80">
        <f t="shared" ref="C241:P241" si="137">C207/C$16-1</f>
        <v>0.14285714285714302</v>
      </c>
      <c r="D241" s="80">
        <f t="shared" si="137"/>
        <v>0.1445086705202312</v>
      </c>
      <c r="E241" s="80">
        <f t="shared" si="137"/>
        <v>0.14285714285714279</v>
      </c>
      <c r="F241" s="80">
        <f t="shared" si="137"/>
        <v>0.13592233009708732</v>
      </c>
      <c r="G241" s="80">
        <f t="shared" si="137"/>
        <v>0.13636363636363646</v>
      </c>
      <c r="H241" s="80">
        <f t="shared" si="137"/>
        <v>0.139240506329114</v>
      </c>
      <c r="I241" s="80">
        <f t="shared" si="137"/>
        <v>0.13888888888888884</v>
      </c>
      <c r="J241" s="80">
        <f t="shared" si="137"/>
        <v>0.12941176470588234</v>
      </c>
      <c r="K241" s="80">
        <f t="shared" si="137"/>
        <v>0.12658227848101267</v>
      </c>
      <c r="L241" s="80">
        <f t="shared" si="137"/>
        <v>0.13513513513513509</v>
      </c>
      <c r="M241" s="80">
        <f t="shared" si="137"/>
        <v>0.12857142857142878</v>
      </c>
      <c r="N241" s="80">
        <f t="shared" si="137"/>
        <v>0.13432835820895517</v>
      </c>
      <c r="O241" s="80">
        <f t="shared" si="137"/>
        <v>0.12307692307692308</v>
      </c>
      <c r="P241" s="80">
        <f t="shared" si="137"/>
        <v>0.12903225806451601</v>
      </c>
    </row>
    <row r="242" spans="2:16" x14ac:dyDescent="0.25">
      <c r="B242" s="74" t="s">
        <v>66</v>
      </c>
      <c r="C242" s="80">
        <f t="shared" ref="C242:P242" si="138">C208/C$16-1</f>
        <v>0.11746031746031749</v>
      </c>
      <c r="D242" s="76">
        <f t="shared" si="138"/>
        <v>9.2485549132947931E-2</v>
      </c>
      <c r="E242" s="76">
        <f t="shared" si="138"/>
        <v>7.1428571428571397E-2</v>
      </c>
      <c r="F242" s="76">
        <f t="shared" si="138"/>
        <v>4.8543689320388328E-2</v>
      </c>
      <c r="G242" s="76">
        <f t="shared" si="138"/>
        <v>4.5454545454545414E-2</v>
      </c>
      <c r="H242" s="76">
        <f t="shared" si="138"/>
        <v>2.5316455696202445E-2</v>
      </c>
      <c r="I242" s="76">
        <f t="shared" si="138"/>
        <v>1.388888888888884E-2</v>
      </c>
      <c r="J242" s="76">
        <f t="shared" si="138"/>
        <v>2.3529411764705799E-2</v>
      </c>
      <c r="K242" s="76">
        <f t="shared" si="138"/>
        <v>2.5316455696202445E-2</v>
      </c>
      <c r="L242" s="76">
        <f t="shared" si="138"/>
        <v>1.3513513513513598E-2</v>
      </c>
      <c r="M242" s="76">
        <f t="shared" si="138"/>
        <v>1.4285714285714235E-2</v>
      </c>
      <c r="N242" s="81">
        <f t="shared" si="138"/>
        <v>0</v>
      </c>
      <c r="O242" s="81">
        <f t="shared" si="138"/>
        <v>-1.5384615384615441E-2</v>
      </c>
      <c r="P242" s="81">
        <f t="shared" si="138"/>
        <v>0</v>
      </c>
    </row>
    <row r="243" spans="2:16" x14ac:dyDescent="0.25">
      <c r="B243" s="74" t="s">
        <v>55</v>
      </c>
      <c r="C243" s="76">
        <f t="shared" ref="C243:P243" si="139">C209/C$16-1</f>
        <v>9.2063492063492181E-2</v>
      </c>
      <c r="D243" s="76">
        <f t="shared" si="139"/>
        <v>4.6242774566473965E-2</v>
      </c>
      <c r="E243" s="76">
        <f t="shared" si="139"/>
        <v>7.9365079365079083E-3</v>
      </c>
      <c r="F243" s="81">
        <f t="shared" si="139"/>
        <v>-2.9126213592232997E-2</v>
      </c>
      <c r="G243" s="81">
        <f t="shared" si="139"/>
        <v>-4.5454545454545525E-2</v>
      </c>
      <c r="H243" s="81">
        <f t="shared" si="139"/>
        <v>-7.5949367088607667E-2</v>
      </c>
      <c r="I243" s="81">
        <f t="shared" si="139"/>
        <v>-9.722222222222221E-2</v>
      </c>
      <c r="J243" s="81">
        <f t="shared" si="139"/>
        <v>-7.0588235294117618E-2</v>
      </c>
      <c r="K243" s="81">
        <f t="shared" si="139"/>
        <v>-8.8607594936708889E-2</v>
      </c>
      <c r="L243" s="81">
        <f t="shared" si="139"/>
        <v>-9.4594594594594517E-2</v>
      </c>
      <c r="M243" s="81">
        <f t="shared" si="139"/>
        <v>-9.9999999999999978E-2</v>
      </c>
      <c r="N243" s="81">
        <f t="shared" si="139"/>
        <v>-0.11940298507462699</v>
      </c>
      <c r="O243" s="81">
        <f t="shared" si="139"/>
        <v>-0.13846153846153841</v>
      </c>
      <c r="P243" s="81">
        <f t="shared" si="139"/>
        <v>-0.14516129032258063</v>
      </c>
    </row>
    <row r="244" spans="2:16" x14ac:dyDescent="0.25">
      <c r="B244" s="74" t="s">
        <v>67</v>
      </c>
      <c r="C244" s="76">
        <f t="shared" ref="C244:P244" si="140">C210/C$16-1</f>
        <v>6.3492063492063489E-2</v>
      </c>
      <c r="D244" s="81">
        <f t="shared" si="140"/>
        <v>0</v>
      </c>
      <c r="E244" s="81">
        <f t="shared" si="140"/>
        <v>-5.555555555555558E-2</v>
      </c>
      <c r="F244" s="81">
        <f t="shared" si="140"/>
        <v>-0.10679611650485432</v>
      </c>
      <c r="G244" s="81">
        <f t="shared" si="140"/>
        <v>-0.14772727272727271</v>
      </c>
      <c r="H244" s="81">
        <f t="shared" si="140"/>
        <v>-0.17721518987341778</v>
      </c>
      <c r="I244" s="81">
        <f t="shared" si="140"/>
        <v>-0.20833333333333337</v>
      </c>
      <c r="J244" s="81">
        <f t="shared" si="140"/>
        <v>-0.16470588235294115</v>
      </c>
      <c r="K244" s="81">
        <f t="shared" si="140"/>
        <v>-0.25316455696202544</v>
      </c>
      <c r="L244" s="81">
        <f t="shared" si="140"/>
        <v>-0.31081081081081074</v>
      </c>
      <c r="M244" s="81">
        <f t="shared" si="140"/>
        <v>-0.22857142857142843</v>
      </c>
      <c r="N244" s="81">
        <f t="shared" si="140"/>
        <v>-0.23880597014925375</v>
      </c>
      <c r="O244" s="81">
        <f t="shared" si="140"/>
        <v>-0.26153846153846161</v>
      </c>
      <c r="P244" s="81">
        <f t="shared" si="140"/>
        <v>-0.27419354838709675</v>
      </c>
    </row>
    <row r="245" spans="2:16" x14ac:dyDescent="0.25">
      <c r="B245" s="77" t="s">
        <v>57</v>
      </c>
      <c r="C245" s="77">
        <f t="shared" ref="C245:P245" si="141">C211/C$16-1</f>
        <v>0.14285714285714302</v>
      </c>
      <c r="D245" s="77">
        <f t="shared" si="141"/>
        <v>9.2485549132947931E-2</v>
      </c>
      <c r="E245" s="77">
        <f t="shared" si="141"/>
        <v>4.7619047619047672E-2</v>
      </c>
      <c r="F245" s="77">
        <f t="shared" si="141"/>
        <v>9.7087378640776656E-3</v>
      </c>
      <c r="G245" s="77">
        <f t="shared" si="141"/>
        <v>-1.1363636363636354E-2</v>
      </c>
      <c r="H245" s="77">
        <f t="shared" si="141"/>
        <v>-5.0632911392405111E-2</v>
      </c>
      <c r="I245" s="77">
        <f t="shared" si="141"/>
        <v>-6.9444444444444309E-2</v>
      </c>
      <c r="J245" s="77">
        <f t="shared" si="141"/>
        <v>-4.7058823529411709E-2</v>
      </c>
      <c r="K245" s="77">
        <f t="shared" si="141"/>
        <v>-6.3291139240506333E-2</v>
      </c>
      <c r="L245" s="77">
        <f t="shared" si="141"/>
        <v>-6.7567567567567655E-2</v>
      </c>
      <c r="M245" s="77">
        <f t="shared" si="141"/>
        <v>-8.5714285714285632E-2</v>
      </c>
      <c r="N245" s="77">
        <f t="shared" si="141"/>
        <v>-0.10447761194029859</v>
      </c>
      <c r="O245" s="77">
        <f t="shared" si="141"/>
        <v>-0.12307692307692319</v>
      </c>
      <c r="P245" s="77">
        <f t="shared" si="141"/>
        <v>-0.12903225806451601</v>
      </c>
    </row>
    <row r="246" spans="2:16" x14ac:dyDescent="0.25">
      <c r="B246" s="78" t="s">
        <v>71</v>
      </c>
      <c r="C246" s="73">
        <f t="shared" ref="C246:P246" si="142">C214/C$17-1</f>
        <v>0</v>
      </c>
      <c r="D246" s="73">
        <f t="shared" si="142"/>
        <v>0</v>
      </c>
      <c r="E246" s="73">
        <f t="shared" si="142"/>
        <v>0</v>
      </c>
      <c r="F246" s="73">
        <f t="shared" si="142"/>
        <v>0</v>
      </c>
      <c r="G246" s="73">
        <f t="shared" si="142"/>
        <v>0</v>
      </c>
      <c r="H246" s="73">
        <f t="shared" si="142"/>
        <v>0</v>
      </c>
      <c r="I246" s="73">
        <f t="shared" si="142"/>
        <v>0</v>
      </c>
      <c r="J246" s="73">
        <f t="shared" si="142"/>
        <v>0</v>
      </c>
      <c r="K246" s="73">
        <f t="shared" si="142"/>
        <v>0</v>
      </c>
      <c r="L246" s="73">
        <f t="shared" si="142"/>
        <v>0</v>
      </c>
      <c r="M246" s="73">
        <f t="shared" si="142"/>
        <v>0</v>
      </c>
      <c r="N246" s="73">
        <f t="shared" si="142"/>
        <v>0</v>
      </c>
      <c r="O246" s="73">
        <f t="shared" si="142"/>
        <v>0</v>
      </c>
      <c r="P246" s="73">
        <f t="shared" si="142"/>
        <v>0</v>
      </c>
    </row>
    <row r="250" spans="2:16" x14ac:dyDescent="0.25">
      <c r="B250" t="s">
        <v>98</v>
      </c>
      <c r="C250" s="54" t="s">
        <v>73</v>
      </c>
      <c r="D250" s="54" t="s">
        <v>74</v>
      </c>
      <c r="E250" s="54" t="s">
        <v>75</v>
      </c>
      <c r="F250" s="54" t="s">
        <v>76</v>
      </c>
      <c r="G250" s="54" t="s">
        <v>77</v>
      </c>
      <c r="H250" s="54" t="s">
        <v>78</v>
      </c>
      <c r="I250" s="54" t="s">
        <v>79</v>
      </c>
      <c r="J250" s="54" t="s">
        <v>80</v>
      </c>
      <c r="K250" s="54" t="s">
        <v>81</v>
      </c>
      <c r="L250" s="54" t="s">
        <v>82</v>
      </c>
      <c r="M250" s="54" t="s">
        <v>83</v>
      </c>
      <c r="N250" s="54" t="s">
        <v>84</v>
      </c>
      <c r="O250" s="54" t="s">
        <v>85</v>
      </c>
      <c r="P250" s="54" t="s">
        <v>86</v>
      </c>
    </row>
    <row r="251" spans="2:16" x14ac:dyDescent="0.25">
      <c r="B251" s="74" t="s">
        <v>56</v>
      </c>
      <c r="C251" s="75">
        <f t="shared" ref="C251:P251" si="143">C201/C$15-1</f>
        <v>0.28526645768025061</v>
      </c>
      <c r="D251" s="75">
        <f t="shared" si="143"/>
        <v>0.40112994350282483</v>
      </c>
      <c r="E251" s="75">
        <f t="shared" si="143"/>
        <v>0.50387596899224807</v>
      </c>
      <c r="F251" s="75">
        <f t="shared" si="143"/>
        <v>0.57547169811320731</v>
      </c>
      <c r="G251" s="75">
        <f t="shared" si="143"/>
        <v>0.63043478260869557</v>
      </c>
      <c r="H251" s="75">
        <f t="shared" si="143"/>
        <v>0.69512195121951215</v>
      </c>
      <c r="I251" s="75">
        <f t="shared" si="143"/>
        <v>0.76</v>
      </c>
      <c r="J251" s="75">
        <f t="shared" si="143"/>
        <v>0.65909090909090895</v>
      </c>
      <c r="K251" s="75">
        <f t="shared" si="143"/>
        <v>0.69512195121951215</v>
      </c>
      <c r="L251" s="75">
        <f t="shared" si="143"/>
        <v>0.87179487179487158</v>
      </c>
      <c r="M251" s="75">
        <f t="shared" si="143"/>
        <v>0.37234042553191493</v>
      </c>
      <c r="N251" s="75">
        <f t="shared" si="143"/>
        <v>0.41573033707865159</v>
      </c>
      <c r="O251" s="75">
        <f t="shared" si="143"/>
        <v>0.43529411764705883</v>
      </c>
      <c r="P251" s="75">
        <f t="shared" si="143"/>
        <v>0.46341463414634143</v>
      </c>
    </row>
    <row r="252" spans="2:16" x14ac:dyDescent="0.25">
      <c r="B252" s="74" t="s">
        <v>60</v>
      </c>
      <c r="C252" s="75">
        <f t="shared" ref="C252:P252" si="144">C202/C$15-1</f>
        <v>0.26018808777429459</v>
      </c>
      <c r="D252" s="75">
        <f t="shared" si="144"/>
        <v>0.35028248587570632</v>
      </c>
      <c r="E252" s="75">
        <f t="shared" si="144"/>
        <v>0.43410852713178305</v>
      </c>
      <c r="F252" s="75">
        <f t="shared" si="144"/>
        <v>0.49056603773584895</v>
      </c>
      <c r="G252" s="75">
        <f t="shared" si="144"/>
        <v>0.54347826086956497</v>
      </c>
      <c r="H252" s="75">
        <f t="shared" si="144"/>
        <v>0.59756097560975618</v>
      </c>
      <c r="I252" s="75">
        <f t="shared" si="144"/>
        <v>0.6399999999999999</v>
      </c>
      <c r="J252" s="75">
        <f t="shared" si="144"/>
        <v>0.55681818181818188</v>
      </c>
      <c r="K252" s="75">
        <f t="shared" si="144"/>
        <v>0.59756097560975618</v>
      </c>
      <c r="L252" s="75">
        <f t="shared" si="144"/>
        <v>0.60256410256410242</v>
      </c>
      <c r="M252" s="75">
        <f t="shared" si="144"/>
        <v>0.28723404255319163</v>
      </c>
      <c r="N252" s="75">
        <f t="shared" si="144"/>
        <v>0.31460674157303359</v>
      </c>
      <c r="O252" s="75">
        <f t="shared" si="144"/>
        <v>0.34117647058823519</v>
      </c>
      <c r="P252" s="75">
        <f t="shared" si="144"/>
        <v>0.35365853658536595</v>
      </c>
    </row>
    <row r="253" spans="2:16" x14ac:dyDescent="0.25">
      <c r="B253" s="74" t="s">
        <v>61</v>
      </c>
      <c r="C253" s="75">
        <f t="shared" ref="C253:P253" si="145">C203/C$15-1</f>
        <v>0.23510971786833856</v>
      </c>
      <c r="D253" s="75">
        <f t="shared" si="145"/>
        <v>0.30508474576271194</v>
      </c>
      <c r="E253" s="75">
        <f t="shared" si="145"/>
        <v>0.37209302325581395</v>
      </c>
      <c r="F253" s="75">
        <f t="shared" si="145"/>
        <v>0.41509433962264142</v>
      </c>
      <c r="G253" s="75">
        <f t="shared" si="145"/>
        <v>0.45652173913043481</v>
      </c>
      <c r="H253" s="75">
        <f t="shared" si="145"/>
        <v>0.5</v>
      </c>
      <c r="I253" s="75">
        <f t="shared" si="145"/>
        <v>0.53333333333333321</v>
      </c>
      <c r="J253" s="75">
        <f t="shared" si="145"/>
        <v>0.46590909090909105</v>
      </c>
      <c r="K253" s="75">
        <f t="shared" si="145"/>
        <v>0.48780487804878048</v>
      </c>
      <c r="L253" s="75">
        <f t="shared" si="145"/>
        <v>0.49999999999999978</v>
      </c>
      <c r="M253" s="75">
        <f t="shared" si="145"/>
        <v>0.2021276595744681</v>
      </c>
      <c r="N253" s="75">
        <f t="shared" si="145"/>
        <v>0.22471910112359561</v>
      </c>
      <c r="O253" s="75">
        <f t="shared" si="145"/>
        <v>0.24705882352941178</v>
      </c>
      <c r="P253" s="75">
        <f t="shared" si="145"/>
        <v>0.25609756097560976</v>
      </c>
    </row>
    <row r="254" spans="2:16" x14ac:dyDescent="0.25">
      <c r="B254" s="74" t="s">
        <v>62</v>
      </c>
      <c r="C254" s="75">
        <f t="shared" ref="C254:P254" si="146">C204/C$15-1</f>
        <v>0.2068965517241379</v>
      </c>
      <c r="D254" s="75">
        <f t="shared" si="146"/>
        <v>0.25988700564971756</v>
      </c>
      <c r="E254" s="75">
        <f t="shared" si="146"/>
        <v>0.31007751937984485</v>
      </c>
      <c r="F254" s="75">
        <f t="shared" si="146"/>
        <v>0.33962264150943389</v>
      </c>
      <c r="G254" s="75">
        <f t="shared" si="146"/>
        <v>0.35869565217391308</v>
      </c>
      <c r="H254" s="75">
        <f t="shared" si="146"/>
        <v>0.39024390243902429</v>
      </c>
      <c r="I254" s="75">
        <f t="shared" si="146"/>
        <v>0.42666666666666675</v>
      </c>
      <c r="J254" s="75">
        <f t="shared" si="146"/>
        <v>0.375</v>
      </c>
      <c r="K254" s="75">
        <f t="shared" si="146"/>
        <v>0.39024390243902429</v>
      </c>
      <c r="L254" s="75">
        <f t="shared" si="146"/>
        <v>0.39743589743589758</v>
      </c>
      <c r="M254" s="75">
        <f t="shared" si="146"/>
        <v>0.1063829787234043</v>
      </c>
      <c r="N254" s="75">
        <f t="shared" si="146"/>
        <v>0.13483146067415719</v>
      </c>
      <c r="O254" s="75">
        <f t="shared" si="146"/>
        <v>0.15294117647058814</v>
      </c>
      <c r="P254" s="75">
        <f t="shared" si="146"/>
        <v>0.15853658536585358</v>
      </c>
    </row>
    <row r="255" spans="2:16" x14ac:dyDescent="0.25">
      <c r="B255" s="74" t="s">
        <v>63</v>
      </c>
      <c r="C255" s="75">
        <f t="shared" ref="C255:P255" si="147">C205/C$15-1</f>
        <v>0.18181818181818188</v>
      </c>
      <c r="D255" s="75">
        <f t="shared" si="147"/>
        <v>0.20903954802259883</v>
      </c>
      <c r="E255" s="75">
        <f t="shared" si="147"/>
        <v>0.24031007751937983</v>
      </c>
      <c r="F255" s="75">
        <f t="shared" si="147"/>
        <v>0.25471698113207553</v>
      </c>
      <c r="G255" s="75">
        <f t="shared" si="147"/>
        <v>0.27173913043478248</v>
      </c>
      <c r="H255" s="75">
        <f t="shared" si="147"/>
        <v>0.29268292682926833</v>
      </c>
      <c r="I255" s="75">
        <f t="shared" si="147"/>
        <v>0.30666666666666664</v>
      </c>
      <c r="J255" s="75">
        <f t="shared" si="147"/>
        <v>0.27272727272727293</v>
      </c>
      <c r="K255" s="75">
        <f t="shared" si="147"/>
        <v>0.29268292682926833</v>
      </c>
      <c r="L255" s="75">
        <f t="shared" si="147"/>
        <v>0.28205128205128194</v>
      </c>
      <c r="M255" s="75">
        <f t="shared" si="147"/>
        <v>2.1276595744680771E-2</v>
      </c>
      <c r="N255" s="75">
        <f t="shared" si="147"/>
        <v>3.3707865168539408E-2</v>
      </c>
      <c r="O255" s="75">
        <f t="shared" si="147"/>
        <v>4.705882352941182E-2</v>
      </c>
      <c r="P255" s="75">
        <f t="shared" si="147"/>
        <v>6.0975609756097615E-2</v>
      </c>
    </row>
    <row r="256" spans="2:16" x14ac:dyDescent="0.25">
      <c r="B256" s="74" t="s">
        <v>64</v>
      </c>
      <c r="C256" s="75">
        <f t="shared" ref="C256:P256" si="148">C206/C$15-1</f>
        <v>0.15673981191222564</v>
      </c>
      <c r="D256" s="75">
        <f t="shared" si="148"/>
        <v>0.16384180790960445</v>
      </c>
      <c r="E256" s="75">
        <f t="shared" si="148"/>
        <v>0.17829457364341073</v>
      </c>
      <c r="F256" s="80">
        <f t="shared" si="148"/>
        <v>0.17924528301886777</v>
      </c>
      <c r="G256" s="80">
        <f t="shared" si="148"/>
        <v>0.18478260869565211</v>
      </c>
      <c r="H256" s="80">
        <f t="shared" si="148"/>
        <v>0.19512195121951215</v>
      </c>
      <c r="I256" s="80">
        <f t="shared" si="148"/>
        <v>0.19999999999999996</v>
      </c>
      <c r="J256" s="80">
        <f t="shared" si="148"/>
        <v>0.18181818181818188</v>
      </c>
      <c r="K256" s="80">
        <f t="shared" si="148"/>
        <v>0.18292682926829262</v>
      </c>
      <c r="L256" s="80">
        <f t="shared" si="148"/>
        <v>0.17948717948717952</v>
      </c>
      <c r="M256" s="81">
        <f t="shared" si="148"/>
        <v>-6.3829787234042534E-2</v>
      </c>
      <c r="N256" s="81">
        <f t="shared" si="148"/>
        <v>-5.6179775280898903E-2</v>
      </c>
      <c r="O256" s="81">
        <f t="shared" si="148"/>
        <v>-4.7058823529411709E-2</v>
      </c>
      <c r="P256" s="81">
        <f t="shared" si="148"/>
        <v>-4.8780487804877981E-2</v>
      </c>
    </row>
    <row r="257" spans="2:16" x14ac:dyDescent="0.25">
      <c r="B257" s="74" t="s">
        <v>65</v>
      </c>
      <c r="C257" s="75">
        <f t="shared" ref="C257:P257" si="149">C207/C$15-1</f>
        <v>0.12852664576802519</v>
      </c>
      <c r="D257" s="80">
        <f t="shared" si="149"/>
        <v>0.11864406779661008</v>
      </c>
      <c r="E257" s="80">
        <f t="shared" si="149"/>
        <v>0.11627906976744184</v>
      </c>
      <c r="F257" s="80">
        <f t="shared" si="149"/>
        <v>0.10377358490566024</v>
      </c>
      <c r="G257" s="80">
        <f t="shared" si="149"/>
        <v>8.6956521739130377E-2</v>
      </c>
      <c r="H257" s="80">
        <f t="shared" si="149"/>
        <v>9.7560975609756184E-2</v>
      </c>
      <c r="I257" s="80">
        <f t="shared" si="149"/>
        <v>9.3333333333333268E-2</v>
      </c>
      <c r="J257" s="76">
        <f t="shared" si="149"/>
        <v>9.0909090909090828E-2</v>
      </c>
      <c r="K257" s="76">
        <f t="shared" si="149"/>
        <v>8.5365853658536661E-2</v>
      </c>
      <c r="L257" s="76">
        <f t="shared" si="149"/>
        <v>7.6923076923076872E-2</v>
      </c>
      <c r="M257" s="81">
        <f t="shared" si="149"/>
        <v>-0.15957446808510634</v>
      </c>
      <c r="N257" s="81">
        <f t="shared" si="149"/>
        <v>-0.1460674157303371</v>
      </c>
      <c r="O257" s="81">
        <f t="shared" si="149"/>
        <v>-0.14117647058823535</v>
      </c>
      <c r="P257" s="81">
        <f t="shared" si="149"/>
        <v>-0.14634146341463417</v>
      </c>
    </row>
    <row r="258" spans="2:16" x14ac:dyDescent="0.25">
      <c r="B258" s="74" t="s">
        <v>66</v>
      </c>
      <c r="C258" s="76">
        <f t="shared" ref="C258:P258" si="150">C208/C$15-1</f>
        <v>0.10344827586206895</v>
      </c>
      <c r="D258" s="76">
        <f t="shared" si="150"/>
        <v>6.7796610169491567E-2</v>
      </c>
      <c r="E258" s="76">
        <f t="shared" si="150"/>
        <v>4.6511627906976827E-2</v>
      </c>
      <c r="F258" s="76">
        <f t="shared" si="150"/>
        <v>1.8867924528301883E-2</v>
      </c>
      <c r="G258" s="81">
        <f t="shared" si="150"/>
        <v>0</v>
      </c>
      <c r="H258" s="81">
        <f t="shared" si="150"/>
        <v>-1.2195121951219412E-2</v>
      </c>
      <c r="I258" s="81">
        <f t="shared" si="150"/>
        <v>-2.6666666666666727E-2</v>
      </c>
      <c r="J258" s="81">
        <f t="shared" si="150"/>
        <v>-1.1363636363636354E-2</v>
      </c>
      <c r="K258" s="81">
        <f t="shared" si="150"/>
        <v>-1.2195121951219412E-2</v>
      </c>
      <c r="L258" s="81">
        <f t="shared" si="150"/>
        <v>-3.8461538461538547E-2</v>
      </c>
      <c r="M258" s="81">
        <f t="shared" si="150"/>
        <v>-0.24468085106382975</v>
      </c>
      <c r="N258" s="81">
        <f t="shared" si="150"/>
        <v>-0.24719101123595499</v>
      </c>
      <c r="O258" s="81">
        <f t="shared" si="150"/>
        <v>-0.24705882352941178</v>
      </c>
      <c r="P258" s="81">
        <f t="shared" si="150"/>
        <v>-0.24390243902439024</v>
      </c>
    </row>
    <row r="259" spans="2:16" x14ac:dyDescent="0.25">
      <c r="B259" s="74" t="s">
        <v>55</v>
      </c>
      <c r="C259" s="76">
        <f t="shared" ref="C259:P259" si="151">C209/C$15-1</f>
        <v>7.8369905956112929E-2</v>
      </c>
      <c r="D259" s="76">
        <f t="shared" si="151"/>
        <v>2.2598870056497189E-2</v>
      </c>
      <c r="E259" s="81">
        <f t="shared" si="151"/>
        <v>-1.5503875968992276E-2</v>
      </c>
      <c r="F259" s="81">
        <f t="shared" si="151"/>
        <v>-5.6603773584905759E-2</v>
      </c>
      <c r="G259" s="81">
        <f t="shared" si="151"/>
        <v>-8.6956521739130488E-2</v>
      </c>
      <c r="H259" s="81">
        <f t="shared" si="151"/>
        <v>-0.1097560975609756</v>
      </c>
      <c r="I259" s="81">
        <f t="shared" si="151"/>
        <v>-0.1333333333333333</v>
      </c>
      <c r="J259" s="81">
        <f t="shared" si="151"/>
        <v>-0.10227272727272718</v>
      </c>
      <c r="K259" s="81">
        <f t="shared" si="151"/>
        <v>-0.12195121951219512</v>
      </c>
      <c r="L259" s="81">
        <f t="shared" si="151"/>
        <v>-0.14102564102564097</v>
      </c>
      <c r="M259" s="81">
        <f t="shared" si="151"/>
        <v>-0.32978723404255317</v>
      </c>
      <c r="N259" s="81">
        <f t="shared" si="151"/>
        <v>-0.3370786516853933</v>
      </c>
      <c r="O259" s="81">
        <f t="shared" si="151"/>
        <v>-0.34117647058823519</v>
      </c>
      <c r="P259" s="81">
        <f t="shared" si="151"/>
        <v>-0.35365853658536583</v>
      </c>
    </row>
    <row r="260" spans="2:16" x14ac:dyDescent="0.25">
      <c r="B260" s="74" t="s">
        <v>67</v>
      </c>
      <c r="C260" s="76">
        <f t="shared" ref="C260:P260" si="152">C210/C$15-1</f>
        <v>5.0156739811912265E-2</v>
      </c>
      <c r="D260" s="81">
        <f t="shared" si="152"/>
        <v>-2.2598870056497189E-2</v>
      </c>
      <c r="E260" s="81">
        <f t="shared" si="152"/>
        <v>-7.7519379844961267E-2</v>
      </c>
      <c r="F260" s="81">
        <f t="shared" si="152"/>
        <v>-0.13207547169811318</v>
      </c>
      <c r="G260" s="81">
        <f t="shared" si="152"/>
        <v>-0.18478260869565222</v>
      </c>
      <c r="H260" s="81">
        <f t="shared" si="152"/>
        <v>-0.20731707317073167</v>
      </c>
      <c r="I260" s="81">
        <f t="shared" si="152"/>
        <v>-0.2400000000000001</v>
      </c>
      <c r="J260" s="81">
        <f t="shared" si="152"/>
        <v>-0.19318181818181823</v>
      </c>
      <c r="K260" s="81">
        <f t="shared" si="152"/>
        <v>-0.28048780487804881</v>
      </c>
      <c r="L260" s="81">
        <f t="shared" si="152"/>
        <v>-0.34615384615384615</v>
      </c>
      <c r="M260" s="81">
        <f t="shared" si="152"/>
        <v>-0.42553191489361697</v>
      </c>
      <c r="N260" s="81">
        <f t="shared" si="152"/>
        <v>-0.4269662921348315</v>
      </c>
      <c r="O260" s="81">
        <f t="shared" si="152"/>
        <v>-0.43529411764705883</v>
      </c>
      <c r="P260" s="81">
        <f t="shared" si="152"/>
        <v>-0.45121951219512191</v>
      </c>
    </row>
    <row r="261" spans="2:16" x14ac:dyDescent="0.25">
      <c r="B261" s="77" t="s">
        <v>57</v>
      </c>
      <c r="C261" s="77">
        <f t="shared" ref="C261:P261" si="153">C211/C$15-1</f>
        <v>0.12852664576802519</v>
      </c>
      <c r="D261" s="77">
        <f t="shared" si="153"/>
        <v>6.7796610169491567E-2</v>
      </c>
      <c r="E261" s="77">
        <f t="shared" si="153"/>
        <v>2.3255813953488413E-2</v>
      </c>
      <c r="F261" s="77">
        <f t="shared" si="153"/>
        <v>-1.8867924528301883E-2</v>
      </c>
      <c r="G261" s="77">
        <f t="shared" si="153"/>
        <v>-5.4347826086956541E-2</v>
      </c>
      <c r="H261" s="77">
        <f t="shared" si="153"/>
        <v>-8.536585365853655E-2</v>
      </c>
      <c r="I261" s="77">
        <f t="shared" si="153"/>
        <v>-0.10666666666666658</v>
      </c>
      <c r="J261" s="77">
        <f t="shared" si="153"/>
        <v>-7.9545454545454475E-2</v>
      </c>
      <c r="K261" s="77">
        <f t="shared" si="153"/>
        <v>-9.7560975609756073E-2</v>
      </c>
      <c r="L261" s="77">
        <f t="shared" si="153"/>
        <v>-0.11538461538461553</v>
      </c>
      <c r="M261" s="77">
        <f t="shared" si="153"/>
        <v>-0.31914893617021267</v>
      </c>
      <c r="N261" s="77">
        <f t="shared" si="153"/>
        <v>-0.3258426966292135</v>
      </c>
      <c r="O261" s="77">
        <f t="shared" si="153"/>
        <v>-0.3294117647058824</v>
      </c>
      <c r="P261" s="77">
        <f t="shared" si="153"/>
        <v>-0.34146341463414631</v>
      </c>
    </row>
    <row r="262" spans="2:16" x14ac:dyDescent="0.25">
      <c r="B262" s="78" t="s">
        <v>72</v>
      </c>
      <c r="C262" s="73">
        <f t="shared" ref="C262:P262" si="154">C212/C$15-1</f>
        <v>0</v>
      </c>
      <c r="D262" s="73">
        <f t="shared" si="154"/>
        <v>0</v>
      </c>
      <c r="E262" s="73">
        <f t="shared" si="154"/>
        <v>0</v>
      </c>
      <c r="F262" s="73">
        <f t="shared" si="154"/>
        <v>0</v>
      </c>
      <c r="G262" s="73">
        <f t="shared" si="154"/>
        <v>0</v>
      </c>
      <c r="H262" s="73">
        <f t="shared" si="154"/>
        <v>0</v>
      </c>
      <c r="I262" s="73">
        <f t="shared" si="154"/>
        <v>0</v>
      </c>
      <c r="J262" s="73">
        <f t="shared" si="154"/>
        <v>0</v>
      </c>
      <c r="K262" s="73">
        <f t="shared" si="154"/>
        <v>0</v>
      </c>
      <c r="L262" s="73">
        <f t="shared" si="154"/>
        <v>0</v>
      </c>
      <c r="M262" s="73">
        <f t="shared" si="154"/>
        <v>0</v>
      </c>
      <c r="N262" s="73">
        <f t="shared" si="154"/>
        <v>0</v>
      </c>
      <c r="O262" s="73">
        <f t="shared" si="154"/>
        <v>0</v>
      </c>
      <c r="P262" s="73">
        <f t="shared" si="154"/>
        <v>0</v>
      </c>
    </row>
    <row r="266" spans="2:16" x14ac:dyDescent="0.25">
      <c r="J266" s="103">
        <f>150*25000*2</f>
        <v>7500000</v>
      </c>
    </row>
    <row r="267" spans="2:16" x14ac:dyDescent="0.25">
      <c r="J267" s="103">
        <f>20000*150</f>
        <v>3000000</v>
      </c>
    </row>
    <row r="268" spans="2:16" x14ac:dyDescent="0.25">
      <c r="J268" s="103">
        <f>7000*150</f>
        <v>1050000</v>
      </c>
    </row>
  </sheetData>
  <pageMargins left="0.7" right="0.7" top="0.75" bottom="0.75" header="0.3" footer="0.3"/>
  <headerFooter>
    <oddHeader>&amp;L&amp;"Aptos"&amp;8&amp;K0000FF [PRIVATE]&amp;1#_x000D_</oddHeader>
    <oddFooter>&amp;L_x000D_&amp;1#&amp;"Aptos"&amp;8&amp;K0000FF [PRIVATE]</oddFooter>
  </headerFooter>
  <tableParts count="1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44BD-49BF-4848-9F1C-36AC8A00815F}">
  <dimension ref="B3:D9"/>
  <sheetViews>
    <sheetView workbookViewId="0">
      <selection activeCell="H17" sqref="H17"/>
    </sheetView>
  </sheetViews>
  <sheetFormatPr baseColWidth="10" defaultRowHeight="15" x14ac:dyDescent="0.25"/>
  <cols>
    <col min="2" max="2" width="43.7109375" customWidth="1"/>
    <col min="3" max="3" width="13" bestFit="1" customWidth="1"/>
    <col min="4" max="4" width="21.28515625" customWidth="1"/>
  </cols>
  <sheetData>
    <row r="3" spans="2:4" x14ac:dyDescent="0.25">
      <c r="B3" s="4" t="s">
        <v>152</v>
      </c>
      <c r="C3" t="s">
        <v>147</v>
      </c>
      <c r="D3" t="s">
        <v>153</v>
      </c>
    </row>
    <row r="4" spans="2:4" x14ac:dyDescent="0.25">
      <c r="B4" s="112" t="s">
        <v>145</v>
      </c>
      <c r="C4" s="113">
        <v>333805</v>
      </c>
      <c r="D4" s="112" t="s">
        <v>154</v>
      </c>
    </row>
    <row r="5" spans="2:4" x14ac:dyDescent="0.25">
      <c r="B5" s="114" t="s">
        <v>146</v>
      </c>
      <c r="C5" s="115">
        <v>55006</v>
      </c>
      <c r="D5" s="116">
        <f>C5/C4</f>
        <v>0.16478482946630518</v>
      </c>
    </row>
    <row r="6" spans="2:4" x14ac:dyDescent="0.25">
      <c r="B6" s="119" t="s">
        <v>148</v>
      </c>
      <c r="C6" s="117">
        <v>23549</v>
      </c>
      <c r="D6" s="118">
        <f>C6/C4</f>
        <v>7.0547175746318955E-2</v>
      </c>
    </row>
    <row r="7" spans="2:4" x14ac:dyDescent="0.25">
      <c r="B7" s="119" t="s">
        <v>149</v>
      </c>
      <c r="C7" s="117">
        <v>16273</v>
      </c>
      <c r="D7" s="118">
        <f>C7/C4</f>
        <v>4.875001872350624E-2</v>
      </c>
    </row>
    <row r="8" spans="2:4" x14ac:dyDescent="0.25">
      <c r="B8" s="119" t="s">
        <v>150</v>
      </c>
      <c r="C8" s="117">
        <v>14441</v>
      </c>
      <c r="D8" s="118">
        <f>C8/C4</f>
        <v>4.3261784574826621E-2</v>
      </c>
    </row>
    <row r="9" spans="2:4" x14ac:dyDescent="0.25">
      <c r="B9" s="119" t="s">
        <v>151</v>
      </c>
      <c r="C9" s="117">
        <v>744</v>
      </c>
      <c r="D9" s="118">
        <f>C9/C4</f>
        <v>2.228846182651548E-3</v>
      </c>
    </row>
  </sheetData>
  <pageMargins left="0.7" right="0.7" top="0.75" bottom="0.75" header="0.3" footer="0.3"/>
  <headerFooter>
    <oddHeader>&amp;L&amp;"Aptos"&amp;8&amp;K0000FF [PRIVATE]&amp;1#_x000D_</oddHeader>
    <oddFooter>&amp;L_x000D_&amp;1#&amp;"Aptos"&amp;8&amp;K0000FF [PRIVATE]</oddFooter>
  </headerFooter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F123-5163-45F1-9849-37F65B36CE74}">
  <dimension ref="S62:AD147"/>
  <sheetViews>
    <sheetView topLeftCell="R97" workbookViewId="0">
      <selection activeCell="AE67" sqref="AE67"/>
    </sheetView>
  </sheetViews>
  <sheetFormatPr baseColWidth="10" defaultRowHeight="15" x14ac:dyDescent="0.25"/>
  <sheetData>
    <row r="62" spans="19:26" x14ac:dyDescent="0.25">
      <c r="V62" s="162"/>
      <c r="W62" s="162"/>
      <c r="X62" s="162"/>
    </row>
    <row r="63" spans="19:26" x14ac:dyDescent="0.25">
      <c r="S63" t="s">
        <v>221</v>
      </c>
      <c r="T63" s="54" t="s">
        <v>223</v>
      </c>
      <c r="U63" s="54" t="s">
        <v>224</v>
      </c>
      <c r="V63" s="54" t="s">
        <v>225</v>
      </c>
      <c r="W63" s="54" t="s">
        <v>226</v>
      </c>
      <c r="X63" s="54" t="s">
        <v>227</v>
      </c>
      <c r="Y63" s="54" t="s">
        <v>228</v>
      </c>
      <c r="Z63" s="54" t="s">
        <v>229</v>
      </c>
    </row>
    <row r="64" spans="19:26" x14ac:dyDescent="0.25">
      <c r="S64" s="127" t="s">
        <v>219</v>
      </c>
      <c r="T64" s="87">
        <v>3.15277090909091</v>
      </c>
      <c r="U64" s="87">
        <v>1.7344134545454546</v>
      </c>
      <c r="V64" s="87">
        <v>1.2616276363636365</v>
      </c>
      <c r="W64" s="87">
        <v>1.0252347272727274</v>
      </c>
      <c r="X64" s="87">
        <v>0.88339898181818188</v>
      </c>
      <c r="Y64" s="87">
        <v>0.7888418181818182</v>
      </c>
      <c r="Z64" s="87">
        <v>0.72130098701298695</v>
      </c>
    </row>
    <row r="65" spans="19:26" x14ac:dyDescent="0.25">
      <c r="S65" s="126" t="s">
        <v>49</v>
      </c>
      <c r="T65" s="87">
        <v>3.5780987636363641</v>
      </c>
      <c r="U65" s="87">
        <v>1.881817381818182</v>
      </c>
      <c r="V65" s="87">
        <v>1.3163902545454547</v>
      </c>
      <c r="W65" s="87">
        <v>1.0336766909090909</v>
      </c>
      <c r="X65" s="87">
        <v>0.86404855272727288</v>
      </c>
      <c r="Y65" s="87">
        <v>0.75096312727272729</v>
      </c>
      <c r="Z65" s="87">
        <v>0.67018782337662341</v>
      </c>
    </row>
    <row r="66" spans="19:26" x14ac:dyDescent="0.25">
      <c r="S66" s="121" t="s">
        <v>48</v>
      </c>
      <c r="T66" s="87">
        <v>4.3134354909090913</v>
      </c>
      <c r="U66" s="87">
        <v>2.3335177454545457</v>
      </c>
      <c r="V66" s="87">
        <v>1.6735451636363636</v>
      </c>
      <c r="W66" s="87">
        <v>1.3435588727272729</v>
      </c>
      <c r="X66" s="87">
        <v>1.1455670981818182</v>
      </c>
      <c r="Y66" s="87">
        <v>1.013572581818182</v>
      </c>
      <c r="Z66" s="87">
        <v>0.91929078441558454</v>
      </c>
    </row>
    <row r="67" spans="19:26" x14ac:dyDescent="0.25">
      <c r="S67" s="128" t="s">
        <v>103</v>
      </c>
      <c r="T67" s="87">
        <v>3.7016507636363638</v>
      </c>
      <c r="U67" s="87">
        <v>2.0053693818181819</v>
      </c>
      <c r="V67" s="87">
        <v>1.4399422545454545</v>
      </c>
      <c r="W67" s="87">
        <v>1.157228690909091</v>
      </c>
      <c r="X67" s="87">
        <v>0.98760055272727276</v>
      </c>
      <c r="Y67" s="87">
        <v>0.87451512727272729</v>
      </c>
      <c r="Z67" s="87">
        <v>0.79373982337662341</v>
      </c>
    </row>
    <row r="68" spans="19:26" x14ac:dyDescent="0.25">
      <c r="S68" s="129" t="s">
        <v>144</v>
      </c>
      <c r="T68" s="87">
        <v>4.2361445818181815</v>
      </c>
      <c r="U68" s="87">
        <v>2.2571722909090908</v>
      </c>
      <c r="V68" s="87">
        <v>1.5975148606060607</v>
      </c>
      <c r="W68" s="87">
        <v>1.2676861454545454</v>
      </c>
      <c r="X68" s="87">
        <v>1.0697889163636363</v>
      </c>
      <c r="Y68" s="87">
        <v>0.93785743030303037</v>
      </c>
      <c r="Z68" s="87">
        <v>0.84362065454545454</v>
      </c>
    </row>
    <row r="69" spans="19:26" x14ac:dyDescent="0.25">
      <c r="S69" s="137" t="s">
        <v>198</v>
      </c>
      <c r="T69" s="87">
        <v>3.5131309090909095</v>
      </c>
      <c r="U69" s="87">
        <v>2.0947734545454546</v>
      </c>
      <c r="V69" s="87">
        <v>1.6219876363636365</v>
      </c>
      <c r="W69" s="87">
        <v>1.3855947272727274</v>
      </c>
      <c r="X69" s="87">
        <v>1.2437589818181816</v>
      </c>
      <c r="Y69" s="87">
        <v>1.149201818181818</v>
      </c>
      <c r="Z69" s="87">
        <v>1.081660987012987</v>
      </c>
    </row>
    <row r="70" spans="19:26" x14ac:dyDescent="0.25">
      <c r="S70" s="121" t="s">
        <v>113</v>
      </c>
      <c r="T70" s="87">
        <v>2.491257381818182</v>
      </c>
      <c r="U70" s="87">
        <v>1.3727166909090909</v>
      </c>
      <c r="V70" s="87">
        <v>0.99986979393939401</v>
      </c>
      <c r="W70" s="87">
        <v>0.81344634545454553</v>
      </c>
      <c r="X70" s="87">
        <v>0.7015922763636363</v>
      </c>
      <c r="Y70" s="87">
        <v>0.62702289696969682</v>
      </c>
      <c r="Z70" s="87">
        <v>0.57375905454545439</v>
      </c>
    </row>
    <row r="71" spans="19:26" x14ac:dyDescent="0.25">
      <c r="S71" s="130" t="s">
        <v>141</v>
      </c>
      <c r="T71" s="87">
        <v>2.1101399272727273</v>
      </c>
      <c r="U71" s="87">
        <v>1.1688719636363636</v>
      </c>
      <c r="V71" s="87">
        <v>0.85511597575757581</v>
      </c>
      <c r="W71" s="87">
        <v>0.69823798181818175</v>
      </c>
      <c r="X71" s="87">
        <v>0.60411118545454534</v>
      </c>
      <c r="Y71" s="87">
        <v>0.54135998787878781</v>
      </c>
      <c r="Z71" s="87">
        <v>0.49653770389610391</v>
      </c>
    </row>
    <row r="72" spans="19:26" x14ac:dyDescent="0.25">
      <c r="S72" s="131" t="s">
        <v>143</v>
      </c>
      <c r="T72" s="87">
        <v>2.2237353454545454</v>
      </c>
      <c r="U72" s="87">
        <v>1.2233764727272727</v>
      </c>
      <c r="V72" s="87">
        <v>0.88992351515151513</v>
      </c>
      <c r="W72" s="87">
        <v>0.7231970363636363</v>
      </c>
      <c r="X72" s="87">
        <v>0.62316114909090903</v>
      </c>
      <c r="Y72" s="87">
        <v>0.55647055757575747</v>
      </c>
      <c r="Z72" s="87">
        <v>0.50883442077922081</v>
      </c>
    </row>
    <row r="73" spans="19:26" x14ac:dyDescent="0.25">
      <c r="S73" s="138" t="s">
        <v>199</v>
      </c>
      <c r="T73" s="87">
        <v>2.3623919272727272</v>
      </c>
      <c r="U73" s="87">
        <v>1.4211239636363637</v>
      </c>
      <c r="V73" s="87">
        <v>1.1073679757575754</v>
      </c>
      <c r="W73" s="87">
        <v>0.95048998181818189</v>
      </c>
      <c r="X73" s="87">
        <v>0.85636318545454526</v>
      </c>
      <c r="Y73" s="87">
        <v>0.79361198787878773</v>
      </c>
      <c r="Z73" s="87">
        <v>0.748789703896104</v>
      </c>
    </row>
    <row r="74" spans="19:26" x14ac:dyDescent="0.25">
      <c r="S74" s="129" t="s">
        <v>220</v>
      </c>
      <c r="T74" s="87">
        <v>2.4384773818181822</v>
      </c>
      <c r="U74" s="87">
        <v>1.319936690909091</v>
      </c>
      <c r="V74" s="87">
        <v>0.94708979393939396</v>
      </c>
      <c r="W74" s="87">
        <v>0.76066634545454537</v>
      </c>
      <c r="X74" s="87">
        <v>0.64881227636363625</v>
      </c>
      <c r="Y74" s="87">
        <v>0.57424289696969688</v>
      </c>
      <c r="Z74" s="87">
        <v>0.52097905454545446</v>
      </c>
    </row>
    <row r="75" spans="19:26" x14ac:dyDescent="0.25">
      <c r="S75" t="s">
        <v>222</v>
      </c>
      <c r="T75" s="168">
        <v>2</v>
      </c>
      <c r="U75" s="54">
        <v>1.5</v>
      </c>
      <c r="V75" s="54">
        <v>1</v>
      </c>
      <c r="W75" s="54" t="e">
        <f>#REF!</f>
        <v>#REF!</v>
      </c>
      <c r="X75" s="54" t="e">
        <f>W75</f>
        <v>#REF!</v>
      </c>
      <c r="Y75" s="54" t="e">
        <f>W75</f>
        <v>#REF!</v>
      </c>
      <c r="Z75" s="54" t="e">
        <f>W75</f>
        <v>#REF!</v>
      </c>
    </row>
    <row r="76" spans="19:26" x14ac:dyDescent="0.25">
      <c r="T76" s="63"/>
      <c r="U76" s="63"/>
      <c r="V76" s="63"/>
      <c r="W76" s="63"/>
      <c r="X76" s="63"/>
      <c r="Y76" s="63"/>
      <c r="Z76" s="63"/>
    </row>
    <row r="77" spans="19:26" x14ac:dyDescent="0.25">
      <c r="T77" s="63"/>
      <c r="U77" s="63"/>
      <c r="V77" s="63"/>
      <c r="W77" s="63"/>
      <c r="X77" s="63"/>
      <c r="Y77" s="63"/>
      <c r="Z77" s="63"/>
    </row>
    <row r="78" spans="19:26" x14ac:dyDescent="0.25">
      <c r="T78" s="63"/>
      <c r="U78" s="63"/>
      <c r="V78" s="63"/>
      <c r="W78" s="63"/>
      <c r="X78" s="63"/>
      <c r="Y78" s="63"/>
      <c r="Z78" s="63"/>
    </row>
    <row r="79" spans="19:26" x14ac:dyDescent="0.25">
      <c r="T79" s="63"/>
      <c r="U79" s="63"/>
      <c r="V79" s="63"/>
      <c r="W79" s="63"/>
      <c r="X79" s="63"/>
      <c r="Y79" s="63"/>
      <c r="Z79" s="63"/>
    </row>
    <row r="80" spans="19:26" x14ac:dyDescent="0.25">
      <c r="T80" s="63"/>
      <c r="U80" s="63"/>
      <c r="V80" s="63"/>
      <c r="W80" s="63"/>
      <c r="X80" s="63"/>
      <c r="Y80" s="63"/>
      <c r="Z80" s="63"/>
    </row>
    <row r="81" spans="20:30" x14ac:dyDescent="0.25">
      <c r="T81" s="63"/>
      <c r="U81" s="63"/>
      <c r="V81" s="63"/>
      <c r="W81" s="63"/>
      <c r="X81" s="63"/>
      <c r="Y81" s="63"/>
      <c r="Z81" s="63"/>
      <c r="AA81" s="63"/>
      <c r="AB81" s="161"/>
      <c r="AC81" s="161"/>
      <c r="AD81" s="161"/>
    </row>
    <row r="82" spans="20:30" x14ac:dyDescent="0.25">
      <c r="T82" s="63"/>
      <c r="U82" s="63"/>
      <c r="V82" s="63"/>
      <c r="W82" s="63"/>
      <c r="X82" s="63"/>
      <c r="Y82" s="63"/>
      <c r="Z82" s="63"/>
      <c r="AA82" s="63"/>
      <c r="AB82" s="161"/>
      <c r="AC82" s="161"/>
      <c r="AD82" s="161"/>
    </row>
    <row r="83" spans="20:30" x14ac:dyDescent="0.25">
      <c r="T83" s="63"/>
      <c r="U83" s="63"/>
      <c r="V83" s="63"/>
      <c r="W83" s="63"/>
      <c r="X83" s="63"/>
      <c r="Y83" s="63"/>
      <c r="Z83" s="63"/>
      <c r="AA83" s="63"/>
      <c r="AB83" s="161"/>
      <c r="AC83" s="161"/>
      <c r="AD83" s="161"/>
    </row>
    <row r="84" spans="20:30" x14ac:dyDescent="0.25">
      <c r="T84" s="63"/>
      <c r="U84" s="63"/>
      <c r="V84" s="63"/>
      <c r="W84" s="63"/>
      <c r="X84" s="63"/>
      <c r="Y84" s="63"/>
      <c r="Z84" s="63"/>
      <c r="AA84" s="63"/>
      <c r="AB84" s="161"/>
      <c r="AC84" s="161"/>
      <c r="AD84" s="161"/>
    </row>
    <row r="85" spans="20:30" x14ac:dyDescent="0.25">
      <c r="T85" s="63"/>
      <c r="U85" s="63"/>
      <c r="V85" s="63"/>
      <c r="W85" s="63"/>
      <c r="X85" s="63"/>
      <c r="Y85" s="63"/>
      <c r="Z85" s="63"/>
      <c r="AA85" s="63"/>
      <c r="AB85" s="161"/>
      <c r="AC85" s="161"/>
      <c r="AD85" s="161"/>
    </row>
    <row r="86" spans="20:30" x14ac:dyDescent="0.25">
      <c r="T86" s="63"/>
      <c r="U86" s="63"/>
      <c r="V86" s="63"/>
      <c r="W86" s="63"/>
      <c r="X86" s="63"/>
      <c r="Y86" s="63"/>
      <c r="Z86" s="63"/>
      <c r="AA86" s="63"/>
      <c r="AB86" s="161"/>
      <c r="AC86" s="161"/>
      <c r="AD86" s="161"/>
    </row>
    <row r="87" spans="20:30" x14ac:dyDescent="0.25">
      <c r="T87" s="63"/>
      <c r="U87" s="63"/>
      <c r="V87" s="63"/>
      <c r="W87" s="63"/>
      <c r="X87" s="63"/>
      <c r="Y87" s="63"/>
      <c r="Z87" s="63"/>
      <c r="AA87" s="63"/>
      <c r="AB87" s="161"/>
      <c r="AC87" s="161"/>
      <c r="AD87" s="161"/>
    </row>
    <row r="88" spans="20:30" x14ac:dyDescent="0.25">
      <c r="T88" s="63"/>
      <c r="U88" s="63"/>
      <c r="V88" s="63"/>
      <c r="W88" s="63"/>
      <c r="X88" s="63"/>
      <c r="Y88" s="63"/>
      <c r="Z88" s="63"/>
      <c r="AA88" s="63"/>
      <c r="AB88" s="161"/>
      <c r="AC88" s="161"/>
      <c r="AD88" s="161"/>
    </row>
    <row r="89" spans="20:30" x14ac:dyDescent="0.25">
      <c r="T89" s="63"/>
      <c r="U89" s="63"/>
      <c r="V89" s="63"/>
      <c r="W89" s="63"/>
      <c r="X89" s="63"/>
      <c r="Y89" s="63"/>
      <c r="Z89" s="63"/>
      <c r="AA89" s="63"/>
      <c r="AB89" s="161"/>
      <c r="AC89" s="161"/>
      <c r="AD89" s="161"/>
    </row>
    <row r="90" spans="20:30" x14ac:dyDescent="0.25">
      <c r="T90" s="63"/>
      <c r="U90" s="63"/>
      <c r="V90" s="63"/>
      <c r="W90" s="63"/>
      <c r="X90" s="63"/>
      <c r="Y90" s="63"/>
      <c r="Z90" s="63"/>
      <c r="AA90" s="63"/>
      <c r="AB90" s="161"/>
      <c r="AC90" s="161"/>
      <c r="AD90" s="161"/>
    </row>
    <row r="91" spans="20:30" x14ac:dyDescent="0.25">
      <c r="V91" s="52"/>
      <c r="W91" s="52"/>
      <c r="X91" s="52"/>
      <c r="Y91" s="52"/>
    </row>
    <row r="94" spans="20:30" x14ac:dyDescent="0.25">
      <c r="AA94" s="63"/>
      <c r="AB94" s="161"/>
      <c r="AC94" s="161"/>
      <c r="AD94" s="161"/>
    </row>
    <row r="95" spans="20:30" x14ac:dyDescent="0.25">
      <c r="AA95" s="63"/>
      <c r="AB95" s="161"/>
      <c r="AC95" s="161"/>
      <c r="AD95" s="161"/>
    </row>
    <row r="96" spans="20:30" x14ac:dyDescent="0.25">
      <c r="AA96" s="63"/>
      <c r="AB96" s="161"/>
      <c r="AC96" s="161"/>
      <c r="AD96" s="161"/>
    </row>
    <row r="97" spans="21:30" x14ac:dyDescent="0.25">
      <c r="AA97" s="63"/>
      <c r="AB97" s="161"/>
      <c r="AC97" s="161"/>
      <c r="AD97" s="161"/>
    </row>
    <row r="98" spans="21:30" x14ac:dyDescent="0.25">
      <c r="AA98" s="63"/>
      <c r="AB98" s="161"/>
      <c r="AC98" s="161"/>
      <c r="AD98" s="161"/>
    </row>
    <row r="99" spans="21:30" x14ac:dyDescent="0.25">
      <c r="AA99" s="63"/>
      <c r="AB99" s="161"/>
      <c r="AC99" s="161"/>
      <c r="AD99" s="161"/>
    </row>
    <row r="100" spans="21:30" x14ac:dyDescent="0.25">
      <c r="AA100" s="63"/>
      <c r="AB100" s="161"/>
      <c r="AC100" s="161"/>
      <c r="AD100" s="161"/>
    </row>
    <row r="101" spans="21:30" x14ac:dyDescent="0.25">
      <c r="AA101" s="63"/>
      <c r="AB101" s="161"/>
      <c r="AC101" s="161"/>
      <c r="AD101" s="161"/>
    </row>
    <row r="102" spans="21:30" x14ac:dyDescent="0.25">
      <c r="AA102" s="63"/>
      <c r="AB102" s="161"/>
      <c r="AC102" s="161"/>
      <c r="AD102" s="161"/>
    </row>
    <row r="103" spans="21:30" x14ac:dyDescent="0.25">
      <c r="AA103" s="63"/>
      <c r="AB103" s="161"/>
      <c r="AC103" s="161"/>
      <c r="AD103" s="161"/>
    </row>
    <row r="107" spans="21:30" x14ac:dyDescent="0.25">
      <c r="AA107" s="63"/>
      <c r="AB107" s="161"/>
      <c r="AC107" s="161"/>
      <c r="AD107" s="161"/>
    </row>
    <row r="108" spans="21:30" x14ac:dyDescent="0.25">
      <c r="AA108" s="63"/>
      <c r="AB108" s="161"/>
      <c r="AC108" s="161"/>
      <c r="AD108" s="161"/>
    </row>
    <row r="109" spans="21:30" x14ac:dyDescent="0.25">
      <c r="AA109" s="63"/>
      <c r="AB109" s="161"/>
      <c r="AC109" s="161"/>
      <c r="AD109" s="161"/>
    </row>
    <row r="110" spans="21:30" x14ac:dyDescent="0.25">
      <c r="AA110" s="63"/>
      <c r="AB110" s="161"/>
      <c r="AC110" s="161"/>
      <c r="AD110" s="161"/>
    </row>
    <row r="111" spans="21:30" x14ac:dyDescent="0.25">
      <c r="U111" s="164"/>
      <c r="AA111" s="63"/>
      <c r="AB111" s="161"/>
      <c r="AC111" s="161"/>
      <c r="AD111" s="161"/>
    </row>
    <row r="112" spans="21:30" x14ac:dyDescent="0.25">
      <c r="AA112" s="63"/>
      <c r="AB112" s="161"/>
      <c r="AC112" s="161"/>
      <c r="AD112" s="161"/>
    </row>
    <row r="113" spans="21:30" x14ac:dyDescent="0.25">
      <c r="AA113" s="63"/>
      <c r="AB113" s="161"/>
      <c r="AC113" s="161"/>
      <c r="AD113" s="161"/>
    </row>
    <row r="114" spans="21:30" x14ac:dyDescent="0.25">
      <c r="U114" s="55"/>
      <c r="AA114" s="63"/>
      <c r="AB114" s="161"/>
      <c r="AC114" s="161"/>
      <c r="AD114" s="161"/>
    </row>
    <row r="115" spans="21:30" x14ac:dyDescent="0.25">
      <c r="AA115" s="63"/>
      <c r="AB115" s="161"/>
      <c r="AC115" s="161"/>
      <c r="AD115" s="161"/>
    </row>
    <row r="116" spans="21:30" x14ac:dyDescent="0.25">
      <c r="AA116" s="63"/>
      <c r="AB116" s="161"/>
      <c r="AC116" s="161"/>
      <c r="AD116" s="161"/>
    </row>
    <row r="124" spans="21:30" x14ac:dyDescent="0.25">
      <c r="AC124" s="54"/>
    </row>
    <row r="125" spans="21:30" x14ac:dyDescent="0.25">
      <c r="AA125" s="63"/>
      <c r="AB125" s="134"/>
      <c r="AC125" s="158"/>
    </row>
    <row r="126" spans="21:30" x14ac:dyDescent="0.25">
      <c r="AA126" s="63"/>
      <c r="AB126" s="134"/>
      <c r="AC126" s="158"/>
    </row>
    <row r="127" spans="21:30" x14ac:dyDescent="0.25">
      <c r="AA127" s="63"/>
      <c r="AB127" s="134"/>
      <c r="AC127" s="158"/>
    </row>
    <row r="128" spans="21:30" x14ac:dyDescent="0.25">
      <c r="AA128" s="63"/>
      <c r="AB128" s="134"/>
      <c r="AC128" s="158"/>
    </row>
    <row r="129" spans="27:29" x14ac:dyDescent="0.25">
      <c r="AA129" s="63"/>
      <c r="AB129" s="134"/>
      <c r="AC129" s="158"/>
    </row>
    <row r="130" spans="27:29" x14ac:dyDescent="0.25">
      <c r="AA130" s="63"/>
      <c r="AB130" s="134"/>
      <c r="AC130" s="158"/>
    </row>
    <row r="131" spans="27:29" x14ac:dyDescent="0.25">
      <c r="AA131" s="63"/>
      <c r="AB131" s="134"/>
      <c r="AC131" s="158"/>
    </row>
    <row r="132" spans="27:29" x14ac:dyDescent="0.25">
      <c r="AA132" s="63"/>
      <c r="AB132" s="134"/>
      <c r="AC132" s="158"/>
    </row>
    <row r="133" spans="27:29" x14ac:dyDescent="0.25">
      <c r="AA133" s="63"/>
      <c r="AB133" s="134"/>
      <c r="AC133" s="158"/>
    </row>
    <row r="134" spans="27:29" x14ac:dyDescent="0.25">
      <c r="AA134" s="63"/>
      <c r="AB134" s="134"/>
      <c r="AC134" s="158"/>
    </row>
    <row r="137" spans="27:29" x14ac:dyDescent="0.25">
      <c r="AC137" s="54"/>
    </row>
    <row r="138" spans="27:29" x14ac:dyDescent="0.25">
      <c r="AA138" s="63"/>
      <c r="AB138" s="134"/>
      <c r="AC138" s="158"/>
    </row>
    <row r="139" spans="27:29" x14ac:dyDescent="0.25">
      <c r="AA139" s="63"/>
      <c r="AB139" s="134"/>
      <c r="AC139" s="158"/>
    </row>
    <row r="140" spans="27:29" x14ac:dyDescent="0.25">
      <c r="AA140" s="63"/>
      <c r="AB140" s="134"/>
      <c r="AC140" s="158"/>
    </row>
    <row r="141" spans="27:29" x14ac:dyDescent="0.25">
      <c r="AA141" s="63"/>
      <c r="AB141" s="134"/>
      <c r="AC141" s="158"/>
    </row>
    <row r="142" spans="27:29" x14ac:dyDescent="0.25">
      <c r="AA142" s="63"/>
      <c r="AB142" s="134"/>
      <c r="AC142" s="158"/>
    </row>
    <row r="143" spans="27:29" x14ac:dyDescent="0.25">
      <c r="AA143" s="63"/>
      <c r="AB143" s="134"/>
      <c r="AC143" s="158"/>
    </row>
    <row r="144" spans="27:29" x14ac:dyDescent="0.25">
      <c r="AA144" s="63"/>
      <c r="AB144" s="134"/>
      <c r="AC144" s="158"/>
    </row>
    <row r="145" spans="27:29" x14ac:dyDescent="0.25">
      <c r="AA145" s="63"/>
      <c r="AB145" s="134"/>
      <c r="AC145" s="158"/>
    </row>
    <row r="146" spans="27:29" x14ac:dyDescent="0.25">
      <c r="AA146" s="63"/>
      <c r="AB146" s="134"/>
      <c r="AC146" s="158"/>
    </row>
    <row r="147" spans="27:29" x14ac:dyDescent="0.25">
      <c r="AA147" s="63"/>
      <c r="AB147" s="134"/>
      <c r="AC147" s="158"/>
    </row>
  </sheetData>
  <pageMargins left="0.7" right="0.7" top="0.75" bottom="0.75" header="0.3" footer="0.3"/>
  <headerFooter>
    <oddHeader>&amp;L&amp;"Aptos"&amp;8&amp;K0000FF [PRIVATE]&amp;1#_x000D_</oddHeader>
    <oddFooter>&amp;L_x000D_&amp;1#&amp;"Aptos"&amp;8&amp;K0000FF [PRIVATE]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4</vt:i4>
      </vt:variant>
    </vt:vector>
  </HeadingPairs>
  <TitlesOfParts>
    <vt:vector size="21" baseType="lpstr">
      <vt:lpstr>CALCULADORA COSTES</vt:lpstr>
      <vt:lpstr>TABLAS </vt:lpstr>
      <vt:lpstr>GASOIL </vt:lpstr>
      <vt:lpstr>GAS NATURAL</vt:lpstr>
      <vt:lpstr>H2</vt:lpstr>
      <vt:lpstr>HVO</vt:lpstr>
      <vt:lpstr>BIOMETANO</vt:lpstr>
      <vt:lpstr>ELÉCTRICO</vt:lpstr>
      <vt:lpstr>DUOTRAILER GASOIL</vt:lpstr>
      <vt:lpstr>DUOTRAILER HVO</vt:lpstr>
      <vt:lpstr>DUOTRAILER H2</vt:lpstr>
      <vt:lpstr>DUOTRAILER ELECTRICO</vt:lpstr>
      <vt:lpstr>DUOTRAILER BIOMETANO</vt:lpstr>
      <vt:lpstr>GRAFICO</vt:lpstr>
      <vt:lpstr>Hoja3</vt:lpstr>
      <vt:lpstr>Hoja1</vt:lpstr>
      <vt:lpstr>GRAFICOS</vt:lpstr>
      <vt:lpstr>'GAS NATURAL'!Área_de_impresión</vt:lpstr>
      <vt:lpstr>'GASOIL '!Área_de_impresión</vt:lpstr>
      <vt:lpstr>'H2'!Área_de_impresión</vt:lpstr>
      <vt:lpstr>HVO!Área_de_impresión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2025-11-05T13:55:37Z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68bb77-9629-4415-ad00-f66913af46f3_Enabled">
    <vt:lpwstr>true</vt:lpwstr>
  </property>
  <property fmtid="{D5CDD505-2E9C-101B-9397-08002B2CF9AE}" pid="3" name="MSIP_Label_b568bb77-9629-4415-ad00-f66913af46f3_SetDate">
    <vt:lpwstr>2025-11-05T13:31:01Z</vt:lpwstr>
  </property>
  <property fmtid="{D5CDD505-2E9C-101B-9397-08002B2CF9AE}" pid="4" name="MSIP_Label_b568bb77-9629-4415-ad00-f66913af46f3_Method">
    <vt:lpwstr>Privileged</vt:lpwstr>
  </property>
  <property fmtid="{D5CDD505-2E9C-101B-9397-08002B2CF9AE}" pid="5" name="MSIP_Label_b568bb77-9629-4415-ad00-f66913af46f3_Name">
    <vt:lpwstr>Privado</vt:lpwstr>
  </property>
  <property fmtid="{D5CDD505-2E9C-101B-9397-08002B2CF9AE}" pid="6" name="MSIP_Label_b568bb77-9629-4415-ad00-f66913af46f3_SiteId">
    <vt:lpwstr>27fac0e2-ed07-4934-9aef-affa08fcd414</vt:lpwstr>
  </property>
  <property fmtid="{D5CDD505-2E9C-101B-9397-08002B2CF9AE}" pid="7" name="MSIP_Label_b568bb77-9629-4415-ad00-f66913af46f3_ActionId">
    <vt:lpwstr>84fc35d5-688f-42c5-bde5-ed8059517686</vt:lpwstr>
  </property>
  <property fmtid="{D5CDD505-2E9C-101B-9397-08002B2CF9AE}" pid="8" name="MSIP_Label_b568bb77-9629-4415-ad00-f66913af46f3_ContentBits">
    <vt:lpwstr>3</vt:lpwstr>
  </property>
  <property fmtid="{D5CDD505-2E9C-101B-9397-08002B2CF9AE}" pid="9" name="MSIP_Label_b568bb77-9629-4415-ad00-f66913af46f3_Tag">
    <vt:lpwstr>10, 0, 1, 1</vt:lpwstr>
  </property>
</Properties>
</file>